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7ce6d3b09321534/Desktop/Project Work/"/>
    </mc:Choice>
  </mc:AlternateContent>
  <xr:revisionPtr revIDLastSave="1479" documentId="8_{4D09FFDE-CF48-4F97-9CDB-451614AE977F}" xr6:coauthVersionLast="47" xr6:coauthVersionMax="47" xr10:uidLastSave="{085EE971-1EFA-4719-B961-9A9F3B9CC060}"/>
  <bookViews>
    <workbookView xWindow="-103" yWindow="-103" windowWidth="24892" windowHeight="14092" activeTab="5" xr2:uid="{00000000-000D-0000-FFFF-FFFF00000000}"/>
  </bookViews>
  <sheets>
    <sheet name="Dashboard" sheetId="33" r:id="rId1"/>
    <sheet name="KPI" sheetId="30" r:id="rId2"/>
    <sheet name="HistoricalFS" sheetId="8" r:id="rId3"/>
    <sheet name="Ratio Analysis" sheetId="11" r:id="rId4"/>
    <sheet name=" Forecasting" sheetId="12" r:id="rId5"/>
    <sheet name="WACC" sheetId="13" r:id="rId6"/>
    <sheet name="Data Sheet" sheetId="6" r:id="rId7"/>
    <sheet name="Common Size Statement" sheetId="16" r:id="rId8"/>
    <sheet name="Cash Flow Data" sheetId="10" r:id="rId9"/>
  </sheets>
  <externalReferences>
    <externalReference r:id="rId10"/>
  </externalReferences>
  <definedNames>
    <definedName name="UPDATE">'Data Sheet'!$E$1</definedName>
  </definedName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79" i="8" l="1"/>
  <c r="E79" i="8"/>
  <c r="F79" i="8"/>
  <c r="G79" i="8"/>
  <c r="H79" i="8"/>
  <c r="I79" i="8"/>
  <c r="J79" i="8"/>
  <c r="K79" i="8"/>
  <c r="L79" i="8"/>
  <c r="D79" i="8"/>
  <c r="B20" i="16"/>
  <c r="C20" i="16"/>
  <c r="D20" i="16"/>
  <c r="E20" i="16"/>
  <c r="F20" i="16"/>
  <c r="G20" i="16"/>
  <c r="H20" i="16"/>
  <c r="I20" i="16"/>
  <c r="J20" i="16"/>
  <c r="K20" i="16"/>
  <c r="L20" i="16"/>
  <c r="B21" i="16"/>
  <c r="C21" i="16"/>
  <c r="D21" i="16"/>
  <c r="E21" i="16"/>
  <c r="F21" i="16"/>
  <c r="G21" i="16"/>
  <c r="H21" i="16"/>
  <c r="I21" i="16"/>
  <c r="J21" i="16"/>
  <c r="K21" i="16"/>
  <c r="L21" i="16"/>
  <c r="B13" i="16"/>
  <c r="C13" i="16"/>
  <c r="D13" i="16"/>
  <c r="E13" i="16"/>
  <c r="F13" i="16"/>
  <c r="G13" i="16"/>
  <c r="H13" i="16"/>
  <c r="I13" i="16"/>
  <c r="J13" i="16"/>
  <c r="K13" i="16"/>
  <c r="L13" i="16"/>
  <c r="D38" i="16"/>
  <c r="E38" i="16"/>
  <c r="F38" i="16"/>
  <c r="G38" i="16"/>
  <c r="H38" i="16"/>
  <c r="I38" i="16"/>
  <c r="J38" i="16"/>
  <c r="K38" i="16"/>
  <c r="L38" i="16"/>
  <c r="C38" i="16"/>
  <c r="C73" i="6"/>
  <c r="D73" i="6"/>
  <c r="E73" i="6"/>
  <c r="F73" i="6"/>
  <c r="G73" i="6"/>
  <c r="H73" i="6"/>
  <c r="I73" i="6"/>
  <c r="J73" i="6"/>
  <c r="K73" i="6"/>
  <c r="B73" i="6"/>
  <c r="B38" i="16"/>
  <c r="C75" i="6"/>
  <c r="D75" i="6"/>
  <c r="E75" i="6"/>
  <c r="F75" i="6"/>
  <c r="G75" i="6"/>
  <c r="H75" i="6"/>
  <c r="I75" i="6"/>
  <c r="J75" i="6"/>
  <c r="K75" i="6"/>
  <c r="B75" i="6"/>
  <c r="C40" i="16"/>
  <c r="D40" i="16"/>
  <c r="E40" i="16"/>
  <c r="F40" i="16"/>
  <c r="G40" i="16"/>
  <c r="H40" i="16"/>
  <c r="I40" i="16"/>
  <c r="J40" i="16"/>
  <c r="K40" i="16"/>
  <c r="L40" i="16"/>
  <c r="C41" i="16"/>
  <c r="D41" i="16"/>
  <c r="E41" i="16"/>
  <c r="F41" i="16"/>
  <c r="G41" i="16"/>
  <c r="H41" i="16"/>
  <c r="I41" i="16"/>
  <c r="J41" i="16"/>
  <c r="K41" i="16"/>
  <c r="L41" i="16"/>
  <c r="D39" i="16"/>
  <c r="E39" i="16"/>
  <c r="F39" i="16"/>
  <c r="G39" i="16"/>
  <c r="H39" i="16"/>
  <c r="I39" i="16"/>
  <c r="J39" i="16"/>
  <c r="K39" i="16"/>
  <c r="L39" i="16"/>
  <c r="C39" i="16"/>
  <c r="C36" i="16"/>
  <c r="D36" i="16"/>
  <c r="E36" i="16"/>
  <c r="F36" i="16"/>
  <c r="G36" i="16"/>
  <c r="H36" i="16"/>
  <c r="I36" i="16"/>
  <c r="J36" i="16"/>
  <c r="K36" i="16"/>
  <c r="L36" i="16"/>
  <c r="C37" i="16"/>
  <c r="D37" i="16"/>
  <c r="E37" i="16"/>
  <c r="F37" i="16"/>
  <c r="G37" i="16"/>
  <c r="H37" i="16"/>
  <c r="I37" i="16"/>
  <c r="J37" i="16"/>
  <c r="K37" i="16"/>
  <c r="L37" i="16"/>
  <c r="D35" i="16"/>
  <c r="E35" i="16"/>
  <c r="F35" i="16"/>
  <c r="G35" i="16"/>
  <c r="H35" i="16"/>
  <c r="I35" i="16"/>
  <c r="J35" i="16"/>
  <c r="K35" i="16"/>
  <c r="L35" i="16"/>
  <c r="C35" i="16"/>
  <c r="D34" i="16"/>
  <c r="E34" i="16"/>
  <c r="F34" i="16"/>
  <c r="G34" i="16"/>
  <c r="H34" i="16"/>
  <c r="I34" i="16"/>
  <c r="J34" i="16"/>
  <c r="K34" i="16"/>
  <c r="L34" i="16"/>
  <c r="C34" i="16"/>
  <c r="C30" i="16"/>
  <c r="D30" i="16"/>
  <c r="E30" i="16"/>
  <c r="F30" i="16"/>
  <c r="G30" i="16"/>
  <c r="H30" i="16"/>
  <c r="I30" i="16"/>
  <c r="J30" i="16"/>
  <c r="K30" i="16"/>
  <c r="L30" i="16"/>
  <c r="C31" i="16"/>
  <c r="D31" i="16"/>
  <c r="E31" i="16"/>
  <c r="F31" i="16"/>
  <c r="G31" i="16"/>
  <c r="H31" i="16"/>
  <c r="I31" i="16"/>
  <c r="J31" i="16"/>
  <c r="K31" i="16"/>
  <c r="L31" i="16"/>
  <c r="C32" i="16"/>
  <c r="D32" i="16"/>
  <c r="E32" i="16"/>
  <c r="F32" i="16"/>
  <c r="G32" i="16"/>
  <c r="H32" i="16"/>
  <c r="I32" i="16"/>
  <c r="J32" i="16"/>
  <c r="K32" i="16"/>
  <c r="L32" i="16"/>
  <c r="D29" i="16"/>
  <c r="E29" i="16"/>
  <c r="F29" i="16"/>
  <c r="G29" i="16"/>
  <c r="H29" i="16"/>
  <c r="I29" i="16"/>
  <c r="J29" i="16"/>
  <c r="K29" i="16"/>
  <c r="L29" i="16"/>
  <c r="C29" i="16"/>
  <c r="D28" i="16"/>
  <c r="E28" i="16"/>
  <c r="F28" i="16"/>
  <c r="G28" i="16"/>
  <c r="H28" i="16"/>
  <c r="I28" i="16"/>
  <c r="J28" i="16"/>
  <c r="K28" i="16"/>
  <c r="L28" i="16"/>
  <c r="C28" i="16"/>
  <c r="D26" i="16"/>
  <c r="E26" i="16"/>
  <c r="F26" i="16"/>
  <c r="G26" i="16"/>
  <c r="H26" i="16"/>
  <c r="I26" i="16"/>
  <c r="J26" i="16"/>
  <c r="K26" i="16"/>
  <c r="L26" i="16"/>
  <c r="C26" i="16"/>
  <c r="B30" i="16"/>
  <c r="B31" i="16"/>
  <c r="B32" i="16"/>
  <c r="B35" i="16"/>
  <c r="B36" i="16"/>
  <c r="B37" i="16"/>
  <c r="B39" i="16"/>
  <c r="B40" i="16"/>
  <c r="B41" i="16"/>
  <c r="B29" i="16"/>
  <c r="B24" i="16"/>
  <c r="D7" i="16"/>
  <c r="E7" i="16"/>
  <c r="F7" i="16"/>
  <c r="G7" i="16"/>
  <c r="H7" i="16"/>
  <c r="I7" i="16"/>
  <c r="J7" i="16"/>
  <c r="K7" i="16"/>
  <c r="L7" i="16"/>
  <c r="D8" i="16"/>
  <c r="E8" i="16"/>
  <c r="F8" i="16"/>
  <c r="G8" i="16"/>
  <c r="H8" i="16"/>
  <c r="I8" i="16"/>
  <c r="J8" i="16"/>
  <c r="K8" i="16"/>
  <c r="L8" i="16"/>
  <c r="D9" i="16"/>
  <c r="E9" i="16"/>
  <c r="F9" i="16"/>
  <c r="G9" i="16"/>
  <c r="H9" i="16"/>
  <c r="I9" i="16"/>
  <c r="J9" i="16"/>
  <c r="K9" i="16"/>
  <c r="L9" i="16"/>
  <c r="D10" i="16"/>
  <c r="E10" i="16"/>
  <c r="F10" i="16"/>
  <c r="G10" i="16"/>
  <c r="H10" i="16"/>
  <c r="I10" i="16"/>
  <c r="J10" i="16"/>
  <c r="K10" i="16"/>
  <c r="L10" i="16"/>
  <c r="D11" i="16"/>
  <c r="E11" i="16"/>
  <c r="F11" i="16"/>
  <c r="G11" i="16"/>
  <c r="H11" i="16"/>
  <c r="I11" i="16"/>
  <c r="J11" i="16"/>
  <c r="K11" i="16"/>
  <c r="L11" i="16"/>
  <c r="D12" i="16"/>
  <c r="E12" i="16"/>
  <c r="F12" i="16"/>
  <c r="G12" i="16"/>
  <c r="H12" i="16"/>
  <c r="I12" i="16"/>
  <c r="J12" i="16"/>
  <c r="K12" i="16"/>
  <c r="L12" i="16"/>
  <c r="D14" i="16"/>
  <c r="E14" i="16"/>
  <c r="F14" i="16"/>
  <c r="G14" i="16"/>
  <c r="H14" i="16"/>
  <c r="I14" i="16"/>
  <c r="J14" i="16"/>
  <c r="K14" i="16"/>
  <c r="L14" i="16"/>
  <c r="D15" i="16"/>
  <c r="E15" i="16"/>
  <c r="F15" i="16"/>
  <c r="G15" i="16"/>
  <c r="H15" i="16"/>
  <c r="I15" i="16"/>
  <c r="J15" i="16"/>
  <c r="K15" i="16"/>
  <c r="L15" i="16"/>
  <c r="D16" i="16"/>
  <c r="E16" i="16"/>
  <c r="F16" i="16"/>
  <c r="G16" i="16"/>
  <c r="H16" i="16"/>
  <c r="I16" i="16"/>
  <c r="J16" i="16"/>
  <c r="K16" i="16"/>
  <c r="L16" i="16"/>
  <c r="D17" i="16"/>
  <c r="E17" i="16"/>
  <c r="F17" i="16"/>
  <c r="G17" i="16"/>
  <c r="H17" i="16"/>
  <c r="I17" i="16"/>
  <c r="J17" i="16"/>
  <c r="K17" i="16"/>
  <c r="L17" i="16"/>
  <c r="D18" i="16"/>
  <c r="E18" i="16"/>
  <c r="F18" i="16"/>
  <c r="G18" i="16"/>
  <c r="H18" i="16"/>
  <c r="I18" i="16"/>
  <c r="J18" i="16"/>
  <c r="K18" i="16"/>
  <c r="L18" i="16"/>
  <c r="D19" i="16"/>
  <c r="E19" i="16"/>
  <c r="F19" i="16"/>
  <c r="G19" i="16"/>
  <c r="H19" i="16"/>
  <c r="I19" i="16"/>
  <c r="J19" i="16"/>
  <c r="K19" i="16"/>
  <c r="L19" i="16"/>
  <c r="D6" i="16"/>
  <c r="E6" i="16"/>
  <c r="F6" i="16"/>
  <c r="G6" i="16"/>
  <c r="H6" i="16"/>
  <c r="I6" i="16"/>
  <c r="J6" i="16"/>
  <c r="K6" i="16"/>
  <c r="L6" i="16"/>
  <c r="C7" i="16"/>
  <c r="C8" i="16"/>
  <c r="C9" i="16"/>
  <c r="C10" i="16"/>
  <c r="C11" i="16"/>
  <c r="C12" i="16"/>
  <c r="C14" i="16"/>
  <c r="C15" i="16"/>
  <c r="C16" i="16"/>
  <c r="C17" i="16"/>
  <c r="C18" i="16"/>
  <c r="C19" i="16"/>
  <c r="C6" i="16"/>
  <c r="B7" i="16"/>
  <c r="B8" i="16"/>
  <c r="B9" i="16"/>
  <c r="B10" i="16"/>
  <c r="B11" i="16"/>
  <c r="B12" i="16"/>
  <c r="B14" i="16"/>
  <c r="B15" i="16"/>
  <c r="B16" i="16"/>
  <c r="B17" i="16"/>
  <c r="B18" i="16"/>
  <c r="B19" i="16"/>
  <c r="B6" i="16"/>
  <c r="C32" i="6"/>
  <c r="D32" i="6"/>
  <c r="E32" i="6"/>
  <c r="F32" i="6"/>
  <c r="G32" i="6"/>
  <c r="H32" i="6"/>
  <c r="I32" i="6"/>
  <c r="J32" i="6"/>
  <c r="K32" i="6"/>
  <c r="B32" i="6"/>
  <c r="L4" i="16"/>
  <c r="I4" i="16"/>
  <c r="J4" i="16"/>
  <c r="K4" i="16"/>
  <c r="D4" i="16"/>
  <c r="E4" i="16"/>
  <c r="F4" i="16"/>
  <c r="G4" i="16"/>
  <c r="H4" i="16"/>
  <c r="C4" i="16"/>
  <c r="B2" i="16"/>
  <c r="K42" i="13" l="1"/>
  <c r="K35" i="13"/>
  <c r="C36" i="13"/>
  <c r="D35" i="13" s="1"/>
  <c r="C26" i="13"/>
  <c r="J42" i="13" s="1"/>
  <c r="J18" i="13"/>
  <c r="H18" i="13"/>
  <c r="J17" i="13"/>
  <c r="G18" i="13"/>
  <c r="G17" i="13"/>
  <c r="K14" i="13"/>
  <c r="K15" i="13"/>
  <c r="I12" i="13"/>
  <c r="I13" i="13"/>
  <c r="I14" i="13"/>
  <c r="I15" i="13"/>
  <c r="I11" i="13"/>
  <c r="H12" i="13"/>
  <c r="K12" i="13" s="1"/>
  <c r="H13" i="13"/>
  <c r="K13" i="13" s="1"/>
  <c r="H14" i="13"/>
  <c r="H15" i="13"/>
  <c r="H11" i="13"/>
  <c r="K11" i="13" s="1"/>
  <c r="L3" i="12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M5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G3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B3" i="12"/>
  <c r="D5" i="12" a="1"/>
  <c r="D5" i="12" s="1"/>
  <c r="D36" i="13" l="1"/>
  <c r="E36" i="13" s="1"/>
  <c r="E35" i="13" s="1"/>
  <c r="K43" i="13" s="1"/>
  <c r="I18" i="13"/>
  <c r="E38" i="13"/>
  <c r="K34" i="13" s="1"/>
  <c r="D34" i="13"/>
  <c r="D38" i="13" s="1"/>
  <c r="H17" i="13"/>
  <c r="I17" i="13"/>
  <c r="K18" i="13"/>
  <c r="K33" i="13" s="1"/>
  <c r="K36" i="13" s="1"/>
  <c r="K26" i="13" s="1"/>
  <c r="K27" i="13" s="1"/>
  <c r="J43" i="13" s="1"/>
  <c r="K44" i="13" s="1"/>
  <c r="K17" i="13"/>
  <c r="L16" i="12"/>
  <c r="G16" i="12"/>
  <c r="D14" i="12"/>
  <c r="D10" i="12"/>
  <c r="D13" i="12"/>
  <c r="D12" i="12"/>
  <c r="D11" i="12"/>
  <c r="D9" i="12"/>
  <c r="D8" i="12"/>
  <c r="D7" i="12"/>
  <c r="D18" i="12" s="1"/>
  <c r="D6" i="12"/>
  <c r="D17" i="12" s="1"/>
  <c r="E18" i="12" l="1"/>
  <c r="D19" i="12"/>
  <c r="E19" i="12" s="1"/>
  <c r="D15" i="12"/>
  <c r="E15" i="12" s="1"/>
  <c r="D16" i="12"/>
  <c r="E16" i="12" s="1"/>
  <c r="L17" i="12"/>
  <c r="G17" i="12"/>
  <c r="E17" i="12" l="1"/>
  <c r="L18" i="12"/>
  <c r="G18" i="12"/>
  <c r="L19" i="12" l="1"/>
  <c r="G19" i="12"/>
  <c r="B15" i="12" l="1"/>
  <c r="B16" i="12" s="1"/>
  <c r="B17" i="12" s="1"/>
  <c r="B18" i="12" s="1"/>
  <c r="B19" i="12" s="1"/>
  <c r="E14" i="12"/>
  <c r="E13" i="12"/>
  <c r="E12" i="12"/>
  <c r="E11" i="12"/>
  <c r="E10" i="12"/>
  <c r="E9" i="12"/>
  <c r="E8" i="12"/>
  <c r="E7" i="12"/>
  <c r="E6" i="12"/>
  <c r="B7" i="12"/>
  <c r="B8" i="12"/>
  <c r="B9" i="12"/>
  <c r="B10" i="12"/>
  <c r="B11" i="12"/>
  <c r="B12" i="12"/>
  <c r="B13" i="12" s="1"/>
  <c r="B14" i="12" s="1"/>
  <c r="B6" i="12"/>
  <c r="B2" i="11"/>
  <c r="L3" i="11"/>
  <c r="K3" i="11"/>
  <c r="J3" i="11"/>
  <c r="I3" i="11"/>
  <c r="H3" i="11"/>
  <c r="G3" i="11"/>
  <c r="F3" i="11"/>
  <c r="E3" i="11"/>
  <c r="D3" i="11"/>
  <c r="C3" i="11"/>
  <c r="L100" i="8"/>
  <c r="K100" i="8"/>
  <c r="J100" i="8"/>
  <c r="I100" i="8"/>
  <c r="H100" i="8"/>
  <c r="G100" i="8"/>
  <c r="F100" i="8"/>
  <c r="E100" i="8"/>
  <c r="D100" i="8"/>
  <c r="C100" i="8"/>
  <c r="L99" i="8"/>
  <c r="K99" i="8"/>
  <c r="J99" i="8"/>
  <c r="I99" i="8"/>
  <c r="H99" i="8"/>
  <c r="G99" i="8"/>
  <c r="F99" i="8"/>
  <c r="E99" i="8"/>
  <c r="D99" i="8"/>
  <c r="C99" i="8"/>
  <c r="L98" i="8"/>
  <c r="K98" i="8"/>
  <c r="J98" i="8"/>
  <c r="I98" i="8"/>
  <c r="H98" i="8"/>
  <c r="G98" i="8"/>
  <c r="F98" i="8"/>
  <c r="E98" i="8"/>
  <c r="D98" i="8"/>
  <c r="C98" i="8"/>
  <c r="L97" i="8"/>
  <c r="K97" i="8"/>
  <c r="J97" i="8"/>
  <c r="I97" i="8"/>
  <c r="H97" i="8"/>
  <c r="G97" i="8"/>
  <c r="F97" i="8"/>
  <c r="E97" i="8"/>
  <c r="D97" i="8"/>
  <c r="C97" i="8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F101" i="8" s="1"/>
  <c r="E95" i="8"/>
  <c r="D95" i="8"/>
  <c r="C95" i="8"/>
  <c r="D94" i="8"/>
  <c r="E94" i="8"/>
  <c r="F94" i="8"/>
  <c r="G94" i="8"/>
  <c r="H94" i="8"/>
  <c r="I94" i="8"/>
  <c r="J94" i="8"/>
  <c r="K94" i="8"/>
  <c r="L94" i="8"/>
  <c r="C94" i="8"/>
  <c r="L90" i="8"/>
  <c r="K90" i="8"/>
  <c r="J90" i="8"/>
  <c r="I90" i="8"/>
  <c r="H90" i="8"/>
  <c r="G90" i="8"/>
  <c r="F90" i="8"/>
  <c r="E90" i="8"/>
  <c r="D90" i="8"/>
  <c r="C90" i="8"/>
  <c r="L89" i="8"/>
  <c r="K89" i="8"/>
  <c r="J89" i="8"/>
  <c r="I89" i="8"/>
  <c r="H89" i="8"/>
  <c r="G89" i="8"/>
  <c r="F89" i="8"/>
  <c r="E89" i="8"/>
  <c r="D89" i="8"/>
  <c r="C89" i="8"/>
  <c r="L88" i="8"/>
  <c r="K88" i="8"/>
  <c r="J88" i="8"/>
  <c r="I88" i="8"/>
  <c r="H88" i="8"/>
  <c r="G88" i="8"/>
  <c r="F88" i="8"/>
  <c r="E88" i="8"/>
  <c r="D88" i="8"/>
  <c r="C88" i="8"/>
  <c r="L87" i="8"/>
  <c r="K87" i="8"/>
  <c r="J87" i="8"/>
  <c r="I87" i="8"/>
  <c r="H87" i="8"/>
  <c r="G87" i="8"/>
  <c r="F87" i="8"/>
  <c r="E87" i="8"/>
  <c r="D87" i="8"/>
  <c r="C87" i="8"/>
  <c r="L86" i="8"/>
  <c r="K86" i="8"/>
  <c r="J86" i="8"/>
  <c r="I86" i="8"/>
  <c r="H86" i="8"/>
  <c r="G86" i="8"/>
  <c r="F86" i="8"/>
  <c r="E86" i="8"/>
  <c r="D86" i="8"/>
  <c r="C86" i="8"/>
  <c r="L85" i="8"/>
  <c r="K85" i="8"/>
  <c r="J85" i="8"/>
  <c r="I85" i="8"/>
  <c r="H85" i="8"/>
  <c r="G85" i="8"/>
  <c r="F85" i="8"/>
  <c r="E85" i="8"/>
  <c r="D85" i="8"/>
  <c r="C85" i="8"/>
  <c r="L84" i="8"/>
  <c r="K84" i="8"/>
  <c r="J84" i="8"/>
  <c r="I84" i="8"/>
  <c r="H84" i="8"/>
  <c r="G84" i="8"/>
  <c r="F84" i="8"/>
  <c r="E84" i="8"/>
  <c r="D84" i="8"/>
  <c r="C84" i="8"/>
  <c r="L83" i="8"/>
  <c r="K83" i="8"/>
  <c r="J83" i="8"/>
  <c r="I83" i="8"/>
  <c r="H83" i="8"/>
  <c r="G83" i="8"/>
  <c r="F83" i="8"/>
  <c r="E83" i="8"/>
  <c r="D83" i="8"/>
  <c r="C83" i="8"/>
  <c r="D82" i="8"/>
  <c r="D91" i="8" s="1"/>
  <c r="E82" i="8"/>
  <c r="F82" i="8"/>
  <c r="F91" i="8" s="1"/>
  <c r="G82" i="8"/>
  <c r="H82" i="8"/>
  <c r="I82" i="8"/>
  <c r="J82" i="8"/>
  <c r="K82" i="8"/>
  <c r="L82" i="8"/>
  <c r="C82" i="8"/>
  <c r="L77" i="8"/>
  <c r="K77" i="8"/>
  <c r="J77" i="8"/>
  <c r="I77" i="8"/>
  <c r="H77" i="8"/>
  <c r="G77" i="8"/>
  <c r="F77" i="8"/>
  <c r="E77" i="8"/>
  <c r="D77" i="8"/>
  <c r="C77" i="8"/>
  <c r="L76" i="8"/>
  <c r="K76" i="8"/>
  <c r="J76" i="8"/>
  <c r="I76" i="8"/>
  <c r="H76" i="8"/>
  <c r="G76" i="8"/>
  <c r="F76" i="8"/>
  <c r="E76" i="8"/>
  <c r="D76" i="8"/>
  <c r="C76" i="8"/>
  <c r="L75" i="8"/>
  <c r="K75" i="8"/>
  <c r="J75" i="8"/>
  <c r="I75" i="8"/>
  <c r="H75" i="8"/>
  <c r="G75" i="8"/>
  <c r="F75" i="8"/>
  <c r="E75" i="8"/>
  <c r="D75" i="8"/>
  <c r="C75" i="8"/>
  <c r="L74" i="8"/>
  <c r="K74" i="8"/>
  <c r="J74" i="8"/>
  <c r="I74" i="8"/>
  <c r="H74" i="8"/>
  <c r="G74" i="8"/>
  <c r="F74" i="8"/>
  <c r="E74" i="8"/>
  <c r="D74" i="8"/>
  <c r="C74" i="8"/>
  <c r="L73" i="8"/>
  <c r="K73" i="8"/>
  <c r="J73" i="8"/>
  <c r="I73" i="8"/>
  <c r="H73" i="8"/>
  <c r="G73" i="8"/>
  <c r="F73" i="8"/>
  <c r="E73" i="8"/>
  <c r="D73" i="8"/>
  <c r="C73" i="8"/>
  <c r="L72" i="8"/>
  <c r="K72" i="8"/>
  <c r="J72" i="8"/>
  <c r="I72" i="8"/>
  <c r="H72" i="8"/>
  <c r="G72" i="8"/>
  <c r="F72" i="8"/>
  <c r="E72" i="8"/>
  <c r="D72" i="8"/>
  <c r="C72" i="8"/>
  <c r="D71" i="8"/>
  <c r="E71" i="8"/>
  <c r="F71" i="8"/>
  <c r="G71" i="8"/>
  <c r="H71" i="8"/>
  <c r="I71" i="8"/>
  <c r="J71" i="8"/>
  <c r="K71" i="8"/>
  <c r="L71" i="8"/>
  <c r="C71" i="8"/>
  <c r="D70" i="8"/>
  <c r="D78" i="8" s="1"/>
  <c r="D41" i="11" s="1"/>
  <c r="E70" i="8"/>
  <c r="F70" i="8"/>
  <c r="G70" i="8"/>
  <c r="H70" i="8"/>
  <c r="I70" i="8"/>
  <c r="J70" i="8"/>
  <c r="J78" i="8" s="1"/>
  <c r="K70" i="8"/>
  <c r="K78" i="8" s="1"/>
  <c r="L70" i="8"/>
  <c r="L78" i="8" s="1"/>
  <c r="C70" i="8"/>
  <c r="D56" i="8"/>
  <c r="E56" i="8"/>
  <c r="F56" i="8"/>
  <c r="G56" i="8"/>
  <c r="H56" i="8"/>
  <c r="I56" i="8"/>
  <c r="J56" i="8"/>
  <c r="K56" i="8"/>
  <c r="L56" i="8"/>
  <c r="C56" i="8"/>
  <c r="L61" i="8"/>
  <c r="K61" i="8"/>
  <c r="J61" i="8"/>
  <c r="I61" i="8"/>
  <c r="H61" i="8"/>
  <c r="G61" i="8"/>
  <c r="F61" i="8"/>
  <c r="E61" i="8"/>
  <c r="D61" i="8"/>
  <c r="L60" i="8"/>
  <c r="K60" i="8"/>
  <c r="J60" i="8"/>
  <c r="I60" i="8"/>
  <c r="H60" i="8"/>
  <c r="G60" i="8"/>
  <c r="F60" i="8"/>
  <c r="E60" i="8"/>
  <c r="D60" i="8"/>
  <c r="C61" i="8"/>
  <c r="C60" i="8"/>
  <c r="C62" i="8" s="1"/>
  <c r="L59" i="8"/>
  <c r="K59" i="8"/>
  <c r="J59" i="8"/>
  <c r="I59" i="8"/>
  <c r="H59" i="8"/>
  <c r="H62" i="8" s="1"/>
  <c r="G59" i="8"/>
  <c r="G62" i="8" s="1"/>
  <c r="F59" i="8"/>
  <c r="E59" i="8"/>
  <c r="D59" i="8"/>
  <c r="C59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L53" i="8"/>
  <c r="K53" i="8"/>
  <c r="J53" i="8"/>
  <c r="I53" i="8"/>
  <c r="H53" i="8"/>
  <c r="G53" i="8"/>
  <c r="F53" i="8"/>
  <c r="E53" i="8"/>
  <c r="E57" i="8" s="1"/>
  <c r="D53" i="8"/>
  <c r="C53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L48" i="8"/>
  <c r="K48" i="8"/>
  <c r="J48" i="8"/>
  <c r="I48" i="8"/>
  <c r="H48" i="8"/>
  <c r="G48" i="8"/>
  <c r="F48" i="8"/>
  <c r="E48" i="8"/>
  <c r="D48" i="8"/>
  <c r="C48" i="8"/>
  <c r="D47" i="8"/>
  <c r="E47" i="8"/>
  <c r="F47" i="8"/>
  <c r="F51" i="8" s="1"/>
  <c r="G47" i="8"/>
  <c r="H47" i="8"/>
  <c r="I47" i="8"/>
  <c r="J47" i="8"/>
  <c r="K47" i="8"/>
  <c r="K51" i="8" s="1"/>
  <c r="L47" i="8"/>
  <c r="C47" i="8"/>
  <c r="L36" i="8"/>
  <c r="L41" i="8" s="1"/>
  <c r="L9" i="11" s="1"/>
  <c r="K36" i="8"/>
  <c r="K41" i="8" s="1"/>
  <c r="J36" i="8"/>
  <c r="J41" i="8" s="1"/>
  <c r="J9" i="11" s="1"/>
  <c r="I36" i="8"/>
  <c r="I41" i="8" s="1"/>
  <c r="I9" i="11" s="1"/>
  <c r="H36" i="8"/>
  <c r="H41" i="8" s="1"/>
  <c r="G36" i="8"/>
  <c r="G41" i="8" s="1"/>
  <c r="F36" i="8"/>
  <c r="F41" i="8" s="1"/>
  <c r="F9" i="11" s="1"/>
  <c r="E36" i="8"/>
  <c r="E41" i="8" s="1"/>
  <c r="D36" i="8"/>
  <c r="D41" i="8" s="1"/>
  <c r="D9" i="11" s="1"/>
  <c r="C36" i="8"/>
  <c r="C41" i="8" s="1"/>
  <c r="M30" i="8"/>
  <c r="L30" i="8"/>
  <c r="K30" i="8"/>
  <c r="J30" i="8"/>
  <c r="I30" i="8"/>
  <c r="H30" i="8"/>
  <c r="G30" i="8"/>
  <c r="F30" i="8"/>
  <c r="E30" i="8"/>
  <c r="D30" i="8"/>
  <c r="C30" i="8"/>
  <c r="M24" i="8"/>
  <c r="D24" i="8"/>
  <c r="E24" i="8"/>
  <c r="F24" i="8"/>
  <c r="G24" i="8"/>
  <c r="H24" i="8"/>
  <c r="I24" i="8"/>
  <c r="J24" i="8"/>
  <c r="K24" i="8"/>
  <c r="L24" i="8"/>
  <c r="C24" i="8"/>
  <c r="M21" i="8"/>
  <c r="D21" i="8"/>
  <c r="E21" i="8"/>
  <c r="F21" i="8"/>
  <c r="G21" i="8"/>
  <c r="H21" i="8"/>
  <c r="I21" i="8"/>
  <c r="J21" i="8"/>
  <c r="K21" i="8"/>
  <c r="L21" i="8"/>
  <c r="C21" i="8"/>
  <c r="M18" i="8"/>
  <c r="L15" i="8"/>
  <c r="K15" i="8"/>
  <c r="J15" i="8"/>
  <c r="I15" i="8"/>
  <c r="H15" i="8"/>
  <c r="G15" i="8"/>
  <c r="F15" i="8"/>
  <c r="E15" i="8"/>
  <c r="D15" i="8"/>
  <c r="C15" i="8"/>
  <c r="M9" i="8"/>
  <c r="D9" i="8"/>
  <c r="E9" i="8"/>
  <c r="F9" i="8"/>
  <c r="G9" i="8"/>
  <c r="H9" i="8"/>
  <c r="I9" i="8"/>
  <c r="J9" i="8"/>
  <c r="K9" i="8"/>
  <c r="L9" i="8"/>
  <c r="C9" i="8"/>
  <c r="M6" i="8"/>
  <c r="M16" i="8" s="1"/>
  <c r="D6" i="8"/>
  <c r="D29" i="11" s="1"/>
  <c r="D36" i="11" s="1"/>
  <c r="E6" i="8"/>
  <c r="F6" i="8"/>
  <c r="G6" i="8"/>
  <c r="G27" i="11" s="1"/>
  <c r="G34" i="11" s="1"/>
  <c r="H6" i="8"/>
  <c r="I6" i="8"/>
  <c r="J6" i="8"/>
  <c r="J30" i="11" s="1"/>
  <c r="K6" i="8"/>
  <c r="K27" i="11" s="1"/>
  <c r="K34" i="11" s="1"/>
  <c r="L6" i="8"/>
  <c r="C6" i="8"/>
  <c r="C30" i="11" s="1"/>
  <c r="D3" i="8"/>
  <c r="E3" i="8"/>
  <c r="F3" i="8"/>
  <c r="G3" i="8"/>
  <c r="H3" i="8"/>
  <c r="I3" i="8"/>
  <c r="J3" i="8"/>
  <c r="K3" i="8"/>
  <c r="L3" i="8"/>
  <c r="C3" i="8"/>
  <c r="B2" i="8"/>
  <c r="B6" i="6"/>
  <c r="E1" i="6"/>
  <c r="L41" i="11" l="1"/>
  <c r="C6" i="30"/>
  <c r="E6" i="30" s="1"/>
  <c r="F6" i="30" s="1"/>
  <c r="G101" i="8"/>
  <c r="K91" i="8"/>
  <c r="J51" i="8"/>
  <c r="L51" i="8"/>
  <c r="E29" i="11"/>
  <c r="E36" i="11" s="1"/>
  <c r="H78" i="8"/>
  <c r="J91" i="8"/>
  <c r="D101" i="8"/>
  <c r="D103" i="8" s="1"/>
  <c r="G78" i="8"/>
  <c r="G41" i="11" s="1"/>
  <c r="I91" i="8"/>
  <c r="I62" i="8"/>
  <c r="I78" i="8"/>
  <c r="I41" i="11" s="1"/>
  <c r="E101" i="8"/>
  <c r="E103" i="8" s="1"/>
  <c r="L27" i="11"/>
  <c r="L34" i="11" s="1"/>
  <c r="C3" i="30"/>
  <c r="E3" i="30" s="1"/>
  <c r="F3" i="30" s="1"/>
  <c r="F78" i="8"/>
  <c r="E78" i="8"/>
  <c r="E41" i="11" s="1"/>
  <c r="G91" i="8"/>
  <c r="E9" i="11"/>
  <c r="E91" i="8"/>
  <c r="C91" i="8"/>
  <c r="H9" i="11"/>
  <c r="D62" i="8"/>
  <c r="L101" i="8"/>
  <c r="L103" i="8" s="1"/>
  <c r="K57" i="8"/>
  <c r="F27" i="11"/>
  <c r="F34" i="11" s="1"/>
  <c r="K101" i="8"/>
  <c r="K103" i="8" s="1"/>
  <c r="C101" i="8"/>
  <c r="C103" i="8" s="1"/>
  <c r="J101" i="8"/>
  <c r="C78" i="8"/>
  <c r="C41" i="11" s="1"/>
  <c r="I101" i="8"/>
  <c r="H57" i="8"/>
  <c r="H64" i="8" s="1"/>
  <c r="J62" i="8"/>
  <c r="H91" i="8"/>
  <c r="H101" i="8"/>
  <c r="L91" i="8"/>
  <c r="F103" i="8"/>
  <c r="G51" i="8"/>
  <c r="H51" i="8"/>
  <c r="F41" i="11"/>
  <c r="I7" i="8"/>
  <c r="I5" i="11" s="1"/>
  <c r="E51" i="8"/>
  <c r="I57" i="8"/>
  <c r="C29" i="11"/>
  <c r="C36" i="11" s="1"/>
  <c r="H41" i="11"/>
  <c r="F29" i="11"/>
  <c r="F36" i="11" s="1"/>
  <c r="H39" i="11"/>
  <c r="D51" i="8"/>
  <c r="G9" i="11"/>
  <c r="E62" i="8"/>
  <c r="E64" i="8" s="1"/>
  <c r="H27" i="11"/>
  <c r="H34" i="11" s="1"/>
  <c r="J41" i="11"/>
  <c r="L57" i="8"/>
  <c r="F62" i="8"/>
  <c r="I31" i="11"/>
  <c r="K41" i="11"/>
  <c r="L62" i="8"/>
  <c r="L30" i="11"/>
  <c r="K30" i="11"/>
  <c r="K9" i="11"/>
  <c r="J57" i="8"/>
  <c r="J64" i="8" s="1"/>
  <c r="J40" i="11" s="1"/>
  <c r="E39" i="11"/>
  <c r="C51" i="8"/>
  <c r="I51" i="8"/>
  <c r="K62" i="8"/>
  <c r="N9" i="11"/>
  <c r="L64" i="8"/>
  <c r="H66" i="8"/>
  <c r="H40" i="11"/>
  <c r="L28" i="11"/>
  <c r="L35" i="11" s="1"/>
  <c r="E27" i="11"/>
  <c r="E34" i="11" s="1"/>
  <c r="I30" i="11"/>
  <c r="D39" i="11"/>
  <c r="O9" i="11"/>
  <c r="C57" i="8"/>
  <c r="C64" i="8" s="1"/>
  <c r="K28" i="11"/>
  <c r="K35" i="11" s="1"/>
  <c r="D27" i="11"/>
  <c r="D34" i="11" s="1"/>
  <c r="H30" i="11"/>
  <c r="J28" i="11"/>
  <c r="J35" i="11" s="1"/>
  <c r="C31" i="11"/>
  <c r="G30" i="11"/>
  <c r="I28" i="11"/>
  <c r="I35" i="11" s="1"/>
  <c r="L31" i="11"/>
  <c r="F30" i="11"/>
  <c r="C39" i="11"/>
  <c r="C27" i="11"/>
  <c r="H28" i="11"/>
  <c r="H35" i="11" s="1"/>
  <c r="K31" i="11"/>
  <c r="E30" i="11"/>
  <c r="C28" i="11"/>
  <c r="G28" i="11"/>
  <c r="G35" i="11" s="1"/>
  <c r="J31" i="11"/>
  <c r="D30" i="11"/>
  <c r="G39" i="11"/>
  <c r="F28" i="11"/>
  <c r="F35" i="11" s="1"/>
  <c r="G57" i="8"/>
  <c r="G64" i="8" s="1"/>
  <c r="L29" i="11"/>
  <c r="L36" i="11" s="1"/>
  <c r="E28" i="11"/>
  <c r="E35" i="11" s="1"/>
  <c r="H31" i="11"/>
  <c r="F57" i="8"/>
  <c r="F64" i="8" s="1"/>
  <c r="K29" i="11"/>
  <c r="K36" i="11" s="1"/>
  <c r="D28" i="11"/>
  <c r="D35" i="11" s="1"/>
  <c r="G31" i="11"/>
  <c r="L39" i="11"/>
  <c r="J29" i="11"/>
  <c r="J36" i="11" s="1"/>
  <c r="F31" i="11"/>
  <c r="K39" i="11"/>
  <c r="D57" i="8"/>
  <c r="D64" i="8" s="1"/>
  <c r="I29" i="11"/>
  <c r="I36" i="11" s="1"/>
  <c r="E31" i="11"/>
  <c r="J39" i="11"/>
  <c r="H29" i="11"/>
  <c r="H36" i="11" s="1"/>
  <c r="J27" i="11"/>
  <c r="J34" i="11" s="1"/>
  <c r="D31" i="11"/>
  <c r="G29" i="11"/>
  <c r="G36" i="11" s="1"/>
  <c r="I27" i="11"/>
  <c r="I34" i="11" s="1"/>
  <c r="F39" i="11"/>
  <c r="M27" i="8"/>
  <c r="M33" i="8" s="1"/>
  <c r="M34" i="8" s="1"/>
  <c r="L12" i="8"/>
  <c r="L13" i="8" s="1"/>
  <c r="L11" i="11" s="1"/>
  <c r="H25" i="8"/>
  <c r="H18" i="11" s="1"/>
  <c r="H16" i="8"/>
  <c r="H17" i="11" s="1"/>
  <c r="H22" i="8"/>
  <c r="D22" i="8"/>
  <c r="M22" i="8"/>
  <c r="J16" i="8"/>
  <c r="J17" i="11" s="1"/>
  <c r="K16" i="8"/>
  <c r="K17" i="11" s="1"/>
  <c r="C22" i="8"/>
  <c r="H10" i="8"/>
  <c r="J22" i="8"/>
  <c r="F25" i="8"/>
  <c r="F18" i="11" s="1"/>
  <c r="K25" i="8"/>
  <c r="K18" i="11" s="1"/>
  <c r="E12" i="8"/>
  <c r="D16" i="8"/>
  <c r="D17" i="11" s="1"/>
  <c r="C16" i="8"/>
  <c r="C17" i="11" s="1"/>
  <c r="C25" i="8"/>
  <c r="C18" i="11" s="1"/>
  <c r="L22" i="8"/>
  <c r="M19" i="8"/>
  <c r="G12" i="8"/>
  <c r="L25" i="8"/>
  <c r="L18" i="11" s="1"/>
  <c r="F16" i="8"/>
  <c r="F17" i="11" s="1"/>
  <c r="H12" i="8"/>
  <c r="D12" i="8"/>
  <c r="E7" i="8"/>
  <c r="E5" i="11" s="1"/>
  <c r="M12" i="8"/>
  <c r="M13" i="8" s="1"/>
  <c r="K22" i="8"/>
  <c r="J25" i="8"/>
  <c r="J18" i="11" s="1"/>
  <c r="E16" i="8"/>
  <c r="E17" i="11" s="1"/>
  <c r="G25" i="8"/>
  <c r="G18" i="11" s="1"/>
  <c r="L16" i="8"/>
  <c r="L17" i="11" s="1"/>
  <c r="I22" i="8"/>
  <c r="G16" i="8"/>
  <c r="G17" i="11" s="1"/>
  <c r="F22" i="8"/>
  <c r="E25" i="8"/>
  <c r="E18" i="11" s="1"/>
  <c r="J7" i="8"/>
  <c r="J5" i="11" s="1"/>
  <c r="I25" i="8"/>
  <c r="I18" i="11" s="1"/>
  <c r="D25" i="8"/>
  <c r="D18" i="11" s="1"/>
  <c r="I10" i="8"/>
  <c r="I16" i="8"/>
  <c r="I17" i="11" s="1"/>
  <c r="F12" i="8"/>
  <c r="E22" i="8"/>
  <c r="I12" i="8"/>
  <c r="G22" i="8"/>
  <c r="J12" i="8"/>
  <c r="K12" i="8"/>
  <c r="M25" i="8"/>
  <c r="D7" i="8"/>
  <c r="D5" i="11" s="1"/>
  <c r="E10" i="8"/>
  <c r="F10" i="8"/>
  <c r="D10" i="8"/>
  <c r="C12" i="8"/>
  <c r="G7" i="8"/>
  <c r="G5" i="11" s="1"/>
  <c r="H7" i="8"/>
  <c r="H5" i="11" s="1"/>
  <c r="F7" i="8"/>
  <c r="F5" i="11" s="1"/>
  <c r="M7" i="8"/>
  <c r="C10" i="8"/>
  <c r="L10" i="8"/>
  <c r="G10" i="8"/>
  <c r="L7" i="8"/>
  <c r="L5" i="11" s="1"/>
  <c r="M10" i="8"/>
  <c r="K7" i="8"/>
  <c r="K5" i="11" s="1"/>
  <c r="K10" i="8"/>
  <c r="J10" i="8"/>
  <c r="I39" i="11" l="1"/>
  <c r="O41" i="11"/>
  <c r="J66" i="8"/>
  <c r="K64" i="8"/>
  <c r="H103" i="8"/>
  <c r="G103" i="8"/>
  <c r="I103" i="8"/>
  <c r="I64" i="8"/>
  <c r="L37" i="11"/>
  <c r="J103" i="8"/>
  <c r="E66" i="8"/>
  <c r="E40" i="11"/>
  <c r="K40" i="11"/>
  <c r="K66" i="8"/>
  <c r="F37" i="11"/>
  <c r="K37" i="11"/>
  <c r="N41" i="11"/>
  <c r="E37" i="11"/>
  <c r="N30" i="11"/>
  <c r="G37" i="11"/>
  <c r="I37" i="11"/>
  <c r="O29" i="11"/>
  <c r="O30" i="11"/>
  <c r="H37" i="11"/>
  <c r="N31" i="11"/>
  <c r="O31" i="11"/>
  <c r="O5" i="11"/>
  <c r="N5" i="11"/>
  <c r="N17" i="11"/>
  <c r="O17" i="11"/>
  <c r="D66" i="8"/>
  <c r="D40" i="11"/>
  <c r="D37" i="11"/>
  <c r="L40" i="11"/>
  <c r="L66" i="8"/>
  <c r="C35" i="11"/>
  <c r="N28" i="11"/>
  <c r="O28" i="11"/>
  <c r="C66" i="8"/>
  <c r="C40" i="11"/>
  <c r="N36" i="11"/>
  <c r="O36" i="11"/>
  <c r="O18" i="11"/>
  <c r="N18" i="11"/>
  <c r="C34" i="11"/>
  <c r="N27" i="11"/>
  <c r="O27" i="11"/>
  <c r="G66" i="8"/>
  <c r="G40" i="11"/>
  <c r="F66" i="8"/>
  <c r="F40" i="11"/>
  <c r="N39" i="11"/>
  <c r="O39" i="11"/>
  <c r="N29" i="11"/>
  <c r="J37" i="11"/>
  <c r="M28" i="8"/>
  <c r="M31" i="8"/>
  <c r="L18" i="8"/>
  <c r="K18" i="8"/>
  <c r="K13" i="8"/>
  <c r="K11" i="11" s="1"/>
  <c r="J18" i="8"/>
  <c r="J13" i="8"/>
  <c r="J11" i="11" s="1"/>
  <c r="E18" i="8"/>
  <c r="E13" i="8"/>
  <c r="E11" i="11" s="1"/>
  <c r="F18" i="8"/>
  <c r="F13" i="8"/>
  <c r="F11" i="11" s="1"/>
  <c r="D18" i="8"/>
  <c r="D13" i="8"/>
  <c r="D11" i="11" s="1"/>
  <c r="I18" i="8"/>
  <c r="I13" i="8"/>
  <c r="I11" i="11" s="1"/>
  <c r="H18" i="8"/>
  <c r="H13" i="8"/>
  <c r="H11" i="11" s="1"/>
  <c r="C18" i="8"/>
  <c r="C13" i="8"/>
  <c r="C11" i="11" s="1"/>
  <c r="G18" i="8"/>
  <c r="G13" i="8"/>
  <c r="G11" i="11" s="1"/>
  <c r="I40" i="11" l="1"/>
  <c r="I66" i="8"/>
  <c r="L19" i="8"/>
  <c r="C5" i="30"/>
  <c r="E5" i="30" s="1"/>
  <c r="F5" i="30" s="1"/>
  <c r="L27" i="8"/>
  <c r="F13" i="11"/>
  <c r="F19" i="11" s="1"/>
  <c r="F6" i="11"/>
  <c r="F25" i="11"/>
  <c r="F21" i="11"/>
  <c r="D13" i="11"/>
  <c r="D19" i="11" s="1"/>
  <c r="D25" i="11"/>
  <c r="D21" i="11"/>
  <c r="D6" i="11"/>
  <c r="I13" i="11"/>
  <c r="I19" i="11" s="1"/>
  <c r="I21" i="11"/>
  <c r="I6" i="11"/>
  <c r="I25" i="11"/>
  <c r="K21" i="11"/>
  <c r="K13" i="11"/>
  <c r="K19" i="11" s="1"/>
  <c r="K25" i="11"/>
  <c r="K6" i="11"/>
  <c r="N34" i="11"/>
  <c r="O34" i="11"/>
  <c r="N35" i="11"/>
  <c r="O35" i="11"/>
  <c r="C37" i="11"/>
  <c r="E6" i="11"/>
  <c r="E25" i="11"/>
  <c r="E13" i="11"/>
  <c r="E19" i="11" s="1"/>
  <c r="E21" i="11"/>
  <c r="N11" i="11"/>
  <c r="O11" i="11"/>
  <c r="J25" i="11"/>
  <c r="J21" i="11"/>
  <c r="J13" i="11"/>
  <c r="J19" i="11" s="1"/>
  <c r="J6" i="11"/>
  <c r="I5" i="12" a="1"/>
  <c r="C25" i="11"/>
  <c r="C21" i="11"/>
  <c r="C13" i="11"/>
  <c r="O40" i="11"/>
  <c r="N40" i="11"/>
  <c r="G21" i="11"/>
  <c r="G13" i="11"/>
  <c r="G19" i="11" s="1"/>
  <c r="G6" i="11"/>
  <c r="G25" i="11"/>
  <c r="L6" i="11"/>
  <c r="L13" i="11"/>
  <c r="L19" i="11" s="1"/>
  <c r="L21" i="11"/>
  <c r="C10" i="30" s="1"/>
  <c r="E10" i="30" s="1"/>
  <c r="F10" i="30" s="1"/>
  <c r="L25" i="11"/>
  <c r="H13" i="11"/>
  <c r="H19" i="11" s="1"/>
  <c r="H21" i="11"/>
  <c r="H6" i="11"/>
  <c r="H25" i="11"/>
  <c r="J19" i="8"/>
  <c r="J12" i="11" s="1"/>
  <c r="J27" i="8"/>
  <c r="D19" i="8"/>
  <c r="D12" i="11" s="1"/>
  <c r="D27" i="8"/>
  <c r="K19" i="8"/>
  <c r="K12" i="11" s="1"/>
  <c r="K27" i="8"/>
  <c r="K7" i="11" s="1"/>
  <c r="H19" i="8"/>
  <c r="H12" i="11" s="1"/>
  <c r="H27" i="8"/>
  <c r="H7" i="11" s="1"/>
  <c r="I19" i="8"/>
  <c r="I12" i="11" s="1"/>
  <c r="I27" i="8"/>
  <c r="F19" i="8"/>
  <c r="F12" i="11" s="1"/>
  <c r="F27" i="8"/>
  <c r="E19" i="8"/>
  <c r="E12" i="11" s="1"/>
  <c r="E27" i="8"/>
  <c r="G19" i="8"/>
  <c r="G12" i="11" s="1"/>
  <c r="G27" i="8"/>
  <c r="L31" i="8"/>
  <c r="L33" i="8"/>
  <c r="L28" i="8"/>
  <c r="L14" i="11" s="1"/>
  <c r="C19" i="8"/>
  <c r="C12" i="11" s="1"/>
  <c r="C27" i="8"/>
  <c r="C4" i="30" l="1"/>
  <c r="E4" i="30" s="1"/>
  <c r="F4" i="30" s="1"/>
  <c r="E7" i="11"/>
  <c r="L12" i="11"/>
  <c r="C8" i="30"/>
  <c r="E8" i="30" s="1"/>
  <c r="F8" i="30" s="1"/>
  <c r="I7" i="11"/>
  <c r="F7" i="11"/>
  <c r="I5" i="12"/>
  <c r="I13" i="12"/>
  <c r="I12" i="12"/>
  <c r="I11" i="12"/>
  <c r="I8" i="12"/>
  <c r="I9" i="12"/>
  <c r="I7" i="12"/>
  <c r="I6" i="12"/>
  <c r="J6" i="12" s="1"/>
  <c r="I10" i="12"/>
  <c r="I14" i="12"/>
  <c r="N6" i="11"/>
  <c r="O6" i="11"/>
  <c r="L7" i="11"/>
  <c r="N37" i="11"/>
  <c r="O37" i="11"/>
  <c r="D7" i="11"/>
  <c r="L23" i="11"/>
  <c r="N21" i="11"/>
  <c r="O21" i="11"/>
  <c r="N12" i="11"/>
  <c r="O12" i="11"/>
  <c r="J7" i="11"/>
  <c r="C19" i="11"/>
  <c r="N13" i="11"/>
  <c r="O13" i="11"/>
  <c r="G7" i="11"/>
  <c r="N25" i="11"/>
  <c r="O25" i="11"/>
  <c r="G28" i="8"/>
  <c r="G14" i="11" s="1"/>
  <c r="G33" i="8"/>
  <c r="G31" i="8"/>
  <c r="E33" i="8"/>
  <c r="E28" i="8"/>
  <c r="E14" i="11" s="1"/>
  <c r="E31" i="8"/>
  <c r="F33" i="8"/>
  <c r="F28" i="8"/>
  <c r="F14" i="11" s="1"/>
  <c r="F31" i="8"/>
  <c r="I33" i="8"/>
  <c r="I28" i="8"/>
  <c r="I14" i="11" s="1"/>
  <c r="I31" i="8"/>
  <c r="H28" i="8"/>
  <c r="H14" i="11" s="1"/>
  <c r="H33" i="8"/>
  <c r="H31" i="8"/>
  <c r="K31" i="8"/>
  <c r="K33" i="8"/>
  <c r="K28" i="8"/>
  <c r="K14" i="11" s="1"/>
  <c r="C28" i="8"/>
  <c r="C14" i="11" s="1"/>
  <c r="C33" i="8"/>
  <c r="C23" i="11" s="1"/>
  <c r="C31" i="8"/>
  <c r="D28" i="8"/>
  <c r="D14" i="11" s="1"/>
  <c r="D33" i="8"/>
  <c r="D31" i="8"/>
  <c r="L38" i="8"/>
  <c r="L34" i="8"/>
  <c r="J33" i="8"/>
  <c r="J28" i="8"/>
  <c r="J14" i="11" s="1"/>
  <c r="J31" i="8"/>
  <c r="L15" i="11" l="1"/>
  <c r="C7" i="30"/>
  <c r="E7" i="30" s="1"/>
  <c r="F7" i="30" s="1"/>
  <c r="F12" i="30"/>
  <c r="C9" i="30"/>
  <c r="E9" i="30" s="1"/>
  <c r="F9" i="30" s="1"/>
  <c r="J14" i="12"/>
  <c r="J10" i="12"/>
  <c r="J9" i="12"/>
  <c r="H23" i="11"/>
  <c r="H8" i="11"/>
  <c r="G8" i="11"/>
  <c r="G23" i="11"/>
  <c r="N19" i="11"/>
  <c r="O19" i="11"/>
  <c r="I23" i="11"/>
  <c r="I8" i="11"/>
  <c r="J7" i="12"/>
  <c r="J23" i="11"/>
  <c r="J8" i="11"/>
  <c r="J8" i="12"/>
  <c r="J11" i="12"/>
  <c r="N7" i="11"/>
  <c r="O7" i="11"/>
  <c r="J12" i="12"/>
  <c r="O14" i="11"/>
  <c r="N14" i="11"/>
  <c r="K23" i="11"/>
  <c r="K8" i="11"/>
  <c r="D8" i="11"/>
  <c r="D23" i="11"/>
  <c r="F23" i="11"/>
  <c r="F8" i="11"/>
  <c r="J13" i="12"/>
  <c r="E23" i="11"/>
  <c r="E8" i="11"/>
  <c r="L8" i="11"/>
  <c r="I17" i="12"/>
  <c r="I18" i="12"/>
  <c r="I19" i="12"/>
  <c r="I15" i="12"/>
  <c r="J15" i="12" s="1"/>
  <c r="I16" i="12"/>
  <c r="L44" i="8"/>
  <c r="L22" i="11" s="1"/>
  <c r="L24" i="11" s="1"/>
  <c r="L42" i="8"/>
  <c r="H34" i="8"/>
  <c r="H15" i="11" s="1"/>
  <c r="H38" i="8"/>
  <c r="J34" i="8"/>
  <c r="J15" i="11" s="1"/>
  <c r="J38" i="8"/>
  <c r="I34" i="8"/>
  <c r="I15" i="11" s="1"/>
  <c r="I38" i="8"/>
  <c r="D34" i="8"/>
  <c r="D15" i="11" s="1"/>
  <c r="D38" i="8"/>
  <c r="F38" i="8"/>
  <c r="F34" i="8"/>
  <c r="F15" i="11" s="1"/>
  <c r="C38" i="8"/>
  <c r="C34" i="8"/>
  <c r="C15" i="11" s="1"/>
  <c r="E38" i="8"/>
  <c r="E34" i="8"/>
  <c r="E15" i="11" s="1"/>
  <c r="G38" i="8"/>
  <c r="G34" i="8"/>
  <c r="G15" i="11" s="1"/>
  <c r="K34" i="8"/>
  <c r="K15" i="11" s="1"/>
  <c r="K38" i="8"/>
  <c r="N5" i="12" l="1" a="1"/>
  <c r="N9" i="12" s="1"/>
  <c r="J17" i="12"/>
  <c r="O23" i="11"/>
  <c r="J16" i="12"/>
  <c r="J18" i="12"/>
  <c r="N8" i="12"/>
  <c r="N7" i="12"/>
  <c r="N6" i="12"/>
  <c r="N13" i="12"/>
  <c r="N11" i="12"/>
  <c r="N5" i="12"/>
  <c r="N12" i="12"/>
  <c r="O12" i="12" s="1"/>
  <c r="N23" i="11"/>
  <c r="N8" i="11"/>
  <c r="O8" i="11"/>
  <c r="N15" i="11"/>
  <c r="O15" i="11"/>
  <c r="J19" i="12"/>
  <c r="E39" i="8"/>
  <c r="E42" i="8"/>
  <c r="E44" i="8" s="1"/>
  <c r="E22" i="11" s="1"/>
  <c r="E24" i="11" s="1"/>
  <c r="C42" i="8"/>
  <c r="C44" i="8" s="1"/>
  <c r="C22" i="11" s="1"/>
  <c r="F39" i="8"/>
  <c r="F42" i="8"/>
  <c r="F44" i="8" s="1"/>
  <c r="F22" i="11" s="1"/>
  <c r="F24" i="11" s="1"/>
  <c r="D39" i="8"/>
  <c r="D42" i="8"/>
  <c r="D44" i="8" s="1"/>
  <c r="D22" i="11" s="1"/>
  <c r="D24" i="11" s="1"/>
  <c r="I39" i="8"/>
  <c r="I42" i="8"/>
  <c r="I44" i="8" s="1"/>
  <c r="I22" i="11" s="1"/>
  <c r="I24" i="11" s="1"/>
  <c r="J39" i="8"/>
  <c r="J44" i="8"/>
  <c r="J22" i="11" s="1"/>
  <c r="J24" i="11" s="1"/>
  <c r="J42" i="8"/>
  <c r="K39" i="8"/>
  <c r="K42" i="8"/>
  <c r="K44" i="8" s="1"/>
  <c r="K22" i="11" s="1"/>
  <c r="K24" i="11" s="1"/>
  <c r="H39" i="8"/>
  <c r="H42" i="8"/>
  <c r="H44" i="8" s="1"/>
  <c r="H22" i="11" s="1"/>
  <c r="H24" i="11" s="1"/>
  <c r="G39" i="8"/>
  <c r="G42" i="8"/>
  <c r="G44" i="8" s="1"/>
  <c r="G22" i="11" s="1"/>
  <c r="G24" i="11" s="1"/>
  <c r="L39" i="8"/>
  <c r="N10" i="12" l="1"/>
  <c r="N14" i="12"/>
  <c r="O11" i="12"/>
  <c r="O7" i="12"/>
  <c r="O9" i="12"/>
  <c r="N16" i="12"/>
  <c r="N17" i="12"/>
  <c r="N18" i="12"/>
  <c r="N19" i="12"/>
  <c r="N15" i="12"/>
  <c r="O15" i="12" s="1"/>
  <c r="O13" i="12"/>
  <c r="O6" i="12"/>
  <c r="C24" i="11"/>
  <c r="N22" i="11"/>
  <c r="O22" i="11"/>
  <c r="O8" i="12"/>
  <c r="O10" i="12"/>
  <c r="O14" i="12"/>
  <c r="O18" i="12" l="1"/>
  <c r="O17" i="12"/>
  <c r="O19" i="12"/>
  <c r="O24" i="11"/>
  <c r="N24" i="11"/>
  <c r="O16" i="12"/>
</calcChain>
</file>

<file path=xl/sharedStrings.xml><?xml version="1.0" encoding="utf-8"?>
<sst xmlns="http://schemas.openxmlformats.org/spreadsheetml/2006/main" count="364" uniqueCount="270">
  <si>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</si>
  <si>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</si>
  <si>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</si>
  <si>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</si>
  <si>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</si>
  <si>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</si>
  <si>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</si>
  <si>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</si>
  <si>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</si>
  <si>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</si>
  <si>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</si>
  <si>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</si>
  <si>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</si>
  <si>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</si>
  <si>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</si>
  <si>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</si>
  <si>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</si>
  <si>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</si>
  <si>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</si>
  <si>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</si>
  <si>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</si>
  <si>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</si>
  <si>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</si>
  <si>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</si>
  <si>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</si>
  <si>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</si>
  <si>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</si>
  <si>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</si>
  <si>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</si>
  <si>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</si>
  <si>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</si>
  <si>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</si>
  <si>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</si>
  <si>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TATA CONSULTANCY SERVICES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</si>
  <si>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</si>
  <si>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</si>
  <si>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</si>
  <si>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</si>
  <si>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</si>
  <si>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</si>
  <si>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</si>
  <si>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</si>
  <si>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</si>
  <si>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</si>
  <si>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</si>
  <si>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</si>
  <si>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</si>
  <si>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</si>
  <si>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</si>
  <si>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</si>
  <si>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</si>
  <si>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</si>
  <si>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</si>
  <si>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</si>
  <si>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</si>
  <si>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 </t>
  </si>
  <si>
    <t>Years</t>
  </si>
  <si>
    <t>LTM</t>
  </si>
  <si>
    <t>#</t>
  </si>
  <si>
    <t>Income Statement</t>
  </si>
  <si>
    <t xml:space="preserve">Sales Growth </t>
  </si>
  <si>
    <t>-</t>
  </si>
  <si>
    <t>COGS</t>
  </si>
  <si>
    <t>Gross Profit</t>
  </si>
  <si>
    <t>S&amp;G Expenses</t>
  </si>
  <si>
    <t xml:space="preserve">EBITDA </t>
  </si>
  <si>
    <t>EBITDA Margins</t>
  </si>
  <si>
    <t>Depreciation%Sales</t>
  </si>
  <si>
    <t>Interest%Sales</t>
  </si>
  <si>
    <t xml:space="preserve">S&amp;G Exp%Sales </t>
  </si>
  <si>
    <t>COGS%Sales</t>
  </si>
  <si>
    <t>Gross Margin</t>
  </si>
  <si>
    <t>Earnings Before Tax</t>
  </si>
  <si>
    <t>EBT%Sales</t>
  </si>
  <si>
    <t>Effective Tax Rate</t>
  </si>
  <si>
    <t>Net Profit</t>
  </si>
  <si>
    <t>Net Profit Margin</t>
  </si>
  <si>
    <t>No of Equity Shares</t>
  </si>
  <si>
    <t>Dividend Per Share</t>
  </si>
  <si>
    <t>EPS Growth %</t>
  </si>
  <si>
    <t xml:space="preserve">  </t>
  </si>
  <si>
    <t xml:space="preserve">Dividend Payout Ratio </t>
  </si>
  <si>
    <t>Retained Earnings</t>
  </si>
  <si>
    <t>Balance Sheet</t>
  </si>
  <si>
    <t xml:space="preserve">Total Liabilities </t>
  </si>
  <si>
    <t>Fixed Assets Net Block</t>
  </si>
  <si>
    <t>Total Non Current Assets</t>
  </si>
  <si>
    <t>Total Current Assets</t>
  </si>
  <si>
    <t>Total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</si>
  <si>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</si>
  <si>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</si>
  <si>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</si>
  <si>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</si>
  <si>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</si>
  <si>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</si>
  <si>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</si>
  <si>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</si>
  <si>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</si>
  <si>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</si>
  <si>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</si>
  <si>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</si>
  <si>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</si>
  <si>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</si>
  <si>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</si>
  <si>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</si>
  <si>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</si>
  <si>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</si>
  <si>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</si>
  <si>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</si>
  <si>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</si>
  <si>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</si>
  <si>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</si>
  <si>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</si>
  <si>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</si>
  <si>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</si>
  <si>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Statements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</si>
  <si>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</si>
  <si>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</si>
  <si>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</si>
  <si>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</si>
  <si>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</si>
  <si>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Financing Activities</t>
  </si>
  <si>
    <t>Sales 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</si>
  <si>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</si>
  <si>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</si>
  <si>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</si>
  <si>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</si>
  <si>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</si>
  <si>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</si>
  <si>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</si>
  <si>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SalesExpenses%Sales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</si>
  <si>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</si>
  <si>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</si>
  <si>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</si>
  <si>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</si>
  <si>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</si>
  <si>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</si>
  <si>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Fixed Asset Turnover</t>
  </si>
  <si>
    <t>Capital Turnover Ratio</t>
  </si>
  <si>
    <t>Payable Days</t>
  </si>
  <si>
    <t>Inventory Days</t>
  </si>
  <si>
    <t>Debtor Turnover Ratio</t>
  </si>
  <si>
    <t>Creditor Turnover Ratio</t>
  </si>
  <si>
    <t>Cash Conversion Cycle</t>
  </si>
  <si>
    <t>CFO/Sales</t>
  </si>
  <si>
    <t>CFO/Total Assets</t>
  </si>
  <si>
    <t>CFO/Total Debt</t>
  </si>
  <si>
    <t>Inventory Turnover Ratio</t>
  </si>
  <si>
    <t>Debtor Days</t>
  </si>
  <si>
    <t>(in days)</t>
  </si>
  <si>
    <t>Mean</t>
  </si>
  <si>
    <t>Median</t>
  </si>
  <si>
    <t xml:space="preserve">Trend </t>
  </si>
  <si>
    <t>Year</t>
  </si>
  <si>
    <t>Weighted Average Cost of Capital</t>
  </si>
  <si>
    <t>All figures are in INR unless stated otherwise</t>
  </si>
  <si>
    <t>Peer Companies</t>
  </si>
  <si>
    <t>Name of the Companies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</si>
  <si>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</si>
  <si>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</si>
  <si>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</si>
  <si>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</si>
  <si>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Debt/</t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</si>
  <si>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</si>
  <si>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</si>
  <si>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</si>
  <si>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</si>
  <si>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</si>
  <si>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</si>
  <si>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t>India</t>
  </si>
  <si>
    <t>TCS</t>
  </si>
  <si>
    <t>Infosys</t>
  </si>
  <si>
    <t>Wipro</t>
  </si>
  <si>
    <t>HCL Tech</t>
  </si>
  <si>
    <t>LT Mindtree</t>
  </si>
  <si>
    <t>Average</t>
  </si>
  <si>
    <t>Cost of Debt</t>
  </si>
  <si>
    <t>pre-tax cost of debt</t>
  </si>
  <si>
    <t>Tax Rate</t>
  </si>
  <si>
    <t>Post Tax  Cost of Debt</t>
  </si>
  <si>
    <t>Cost o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</si>
  <si>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</si>
  <si>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</si>
  <si>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</si>
  <si>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</si>
  <si>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 xml:space="preserve">Cost of Equity </t>
  </si>
  <si>
    <t>Capital Structre</t>
  </si>
  <si>
    <t xml:space="preserve">Current </t>
  </si>
  <si>
    <t>Target</t>
  </si>
  <si>
    <t>Total Capital</t>
  </si>
  <si>
    <t>Companies Median Unlevered Beta</t>
  </si>
  <si>
    <t>Target Debt/Equity</t>
  </si>
  <si>
    <t>Debt/Equity</t>
  </si>
  <si>
    <t>Debt</t>
  </si>
  <si>
    <t>Total Cost</t>
  </si>
  <si>
    <t>Total Weight</t>
  </si>
  <si>
    <t xml:space="preserve">WACC </t>
  </si>
  <si>
    <t>Notes:</t>
  </si>
  <si>
    <t>1. Tax Rate considered as Marginal tax rate for the country</t>
  </si>
  <si>
    <t>2. Levered Beta is based on 5year monthly data</t>
  </si>
  <si>
    <t>3. Unlevered Beta =Levered Beta/(1+(1-Tax Rate)*Debt/Equity)</t>
  </si>
  <si>
    <t>4. Levered Beta= Unlevered Beta*(1+(1-Tax Rate)*Debt/Equity)</t>
  </si>
  <si>
    <t>Particulars</t>
  </si>
  <si>
    <t>EBITDA</t>
  </si>
  <si>
    <t>Total Liabilties</t>
  </si>
  <si>
    <t>Total Asset</t>
  </si>
  <si>
    <t>EPS Growth</t>
  </si>
  <si>
    <t>Status</t>
  </si>
  <si>
    <t>EBITDA Margin %</t>
  </si>
  <si>
    <t>Variance %</t>
  </si>
  <si>
    <t>KPI Metric</t>
  </si>
  <si>
    <t>FY25 Actual</t>
  </si>
  <si>
    <t>FY25 Target</t>
  </si>
  <si>
    <t>Revenue (₹ Crore)</t>
  </si>
  <si>
    <t>Net Profit (₹ Crore)</t>
  </si>
  <si>
    <t>EBITDA (₹ Crore</t>
  </si>
  <si>
    <t>Operating Cash Flow</t>
  </si>
  <si>
    <t>Net Profit Margin %</t>
  </si>
  <si>
    <t>Return on Equity %</t>
  </si>
  <si>
    <t>Return on Capital Emp. %</t>
  </si>
  <si>
    <t>Overall Score</t>
  </si>
  <si>
    <t>Revenue FY25</t>
  </si>
  <si>
    <t>Net Profit FY25</t>
  </si>
  <si>
    <t>Return on Equity</t>
  </si>
  <si>
    <t>CFO FY25</t>
  </si>
  <si>
    <t>+6.0% YoY</t>
  </si>
  <si>
    <t>+5.8% YoY</t>
  </si>
  <si>
    <t>10-Yr Avg: 35.7%</t>
  </si>
  <si>
    <t>CFO YOY Growth</t>
  </si>
  <si>
    <t xml:space="preserve">  📊  Revenue &amp; Profitability  (₹ Crore)</t>
  </si>
  <si>
    <t xml:space="preserve">  📈  Margin &amp; Returns Analysis  (%)</t>
  </si>
  <si>
    <t>Revenue</t>
  </si>
  <si>
    <t>CFO</t>
  </si>
  <si>
    <t>Net Margin</t>
  </si>
  <si>
    <t>ROE</t>
  </si>
  <si>
    <t>ROCE</t>
  </si>
  <si>
    <t>10-Yr CAGR</t>
  </si>
  <si>
    <t>10.0%</t>
  </si>
  <si>
    <t>8.0%</t>
  </si>
  <si>
    <t>8.7%</t>
  </si>
  <si>
    <t>11.0%</t>
  </si>
  <si>
    <t>10-Yr Average</t>
  </si>
  <si>
    <t>20.4%</t>
  </si>
  <si>
    <t>29.4%</t>
  </si>
  <si>
    <t>35.7%</t>
  </si>
  <si>
    <t>46.5%</t>
  </si>
  <si>
    <t xml:space="preserve">  📊  Revenue vs Net Profit  (₹ Crore)</t>
  </si>
  <si>
    <t xml:space="preserve">  📊  EBITDA vs Operating Cash Flow  (₹ Crore)</t>
  </si>
  <si>
    <t xml:space="preserve">  📈  ROE &amp; ROCE Trend  (%)</t>
  </si>
  <si>
    <t xml:space="preserve">  📈  Margin Trends  (%)</t>
  </si>
  <si>
    <t xml:space="preserve">  💡  Key Analyst Insights</t>
  </si>
  <si>
    <t>▶  Revenue CAGR</t>
  </si>
  <si>
    <t>TCS delivered a 10.0% revenue CAGR over 10 years, growing from ₹1.09L Cr (FY16) to ₹2.55L Cr (FY25) — consistent industry-beating growth.</t>
  </si>
  <si>
    <t>▶  Profitability</t>
  </si>
  <si>
    <t>Net profit CAGR of 8.0% with margins consistently above 18%, demonstrating superior cost discipline in a people-intensive business.</t>
  </si>
  <si>
    <t>▶  Return Quality</t>
  </si>
  <si>
    <t>ROE expanded from 29.9% (FY16) to 47.3% (FY25) — a 17pp improvement — driven by capital-efficient operations and buybacks.</t>
  </si>
  <si>
    <t>▶  Cash Generation</t>
  </si>
  <si>
    <t>CFO grew from ₹19,109 Cr to ₹48,908 Cr (+11.0% CAGR). CFO/Net Profit consistently above 1x confirms high earnings quality.</t>
  </si>
  <si>
    <t>▶  Valuation</t>
  </si>
  <si>
    <t>Stock rose from ₹1,260 (FY16) to ₹3,606 (FY25), delivering ~186% absolute return. Near-term correction from ₹3,876 (FY24) peak warrants monitoring.</t>
  </si>
  <si>
    <t>Source: TCS Annual Reports FY2016–FY2025  |  All figures in ₹ Crore unless stated  |  Prepared by: [Your Name]</t>
  </si>
  <si>
    <t>TCS — 10-Year Performance Analysis Dashboard  (FY2016–FY2025)</t>
  </si>
  <si>
    <t>₹2,55,324 Cr</t>
  </si>
  <si>
    <t>₹48,553 Cr</t>
  </si>
  <si>
    <t>27.86%</t>
  </si>
  <si>
    <t>47.32%</t>
  </si>
  <si>
    <t>₹48,908 Cr</t>
  </si>
  <si>
    <t>10-Yr Avg: 29.4%</t>
  </si>
  <si>
    <t>+10.3%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</si>
</sst>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&quot;₹&quot;\ #,##0.0"/>
    <numFmt numFmtId="168" formatCode="0.00&quot;x&quot;"/>
    <numFmt numFmtId="169" formatCode="0.00\ "/>
    <numFmt numFmtId="170" formatCode="#,##0.0"/>
    <numFmt numFmtId="171" formatCode="yyyy&quot;A&quot;"/>
    <numFmt numFmtId="172" formatCode="yyyy&quot;E&quot;"/>
    <numFmt numFmtId="173" formatCode="0.0"/>
    <numFmt numFmtId="174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666666"/>
      <name val="Arial"/>
      <family val="2"/>
    </font>
    <font>
      <b/>
      <sz val="13"/>
      <color rgb="FF1A3C5E"/>
      <name val="Arial"/>
      <family val="2"/>
    </font>
    <font>
      <sz val="9"/>
      <color rgb="FF375623"/>
      <name val="Arial"/>
      <family val="2"/>
    </font>
    <font>
      <sz val="9"/>
      <color rgb="FF666666"/>
      <name val="Arial"/>
      <family val="2"/>
    </font>
    <font>
      <b/>
      <i/>
      <sz val="11"/>
      <color theme="0" tint="-0.249977111117893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3C5E"/>
      <name val="Arial"/>
      <family val="2"/>
    </font>
    <font>
      <b/>
      <sz val="9"/>
      <color rgb="FF1A3C5E"/>
      <name val="Arial"/>
      <family val="2"/>
    </font>
    <font>
      <b/>
      <sz val="9"/>
      <color rgb="FF375623"/>
      <name val="Arial"/>
      <family val="2"/>
    </font>
    <font>
      <sz val="9"/>
      <color rgb="FF333333"/>
      <name val="Arial"/>
      <family val="2"/>
    </font>
    <font>
      <i/>
      <sz val="8"/>
      <color rgb="FF888888"/>
      <name val="Arial"/>
      <family val="2"/>
    </font>
    <font>
      <b/>
      <sz val="16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275D8"/>
      </patternFill>
    </fill>
    <fill>
      <patternFill patternType="solid">
        <fgColor rgb="FF1A3C5E"/>
        <bgColor rgb="FF1D324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C9A84C"/>
        <bgColor rgb="FFA6A6A6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32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17" fontId="0" fillId="0" borderId="0" xfId="0" applyNumberFormat="1"/>
    <xf numFmtId="17" fontId="7" fillId="4" borderId="0" xfId="0" applyNumberFormat="1" applyFont="1" applyFill="1" applyAlignment="1">
      <alignment horizontal="right"/>
    </xf>
    <xf numFmtId="166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10" fontId="9" fillId="0" borderId="0" xfId="4" applyNumberFormat="1" applyFont="1"/>
    <xf numFmtId="167" fontId="0" fillId="0" borderId="0" xfId="0" applyNumberFormat="1"/>
    <xf numFmtId="0" fontId="7" fillId="0" borderId="0" xfId="0" applyFont="1"/>
    <xf numFmtId="17" fontId="7" fillId="0" borderId="0" xfId="0" applyNumberFormat="1" applyFont="1"/>
    <xf numFmtId="17" fontId="7" fillId="0" borderId="0" xfId="0" applyNumberFormat="1" applyFont="1" applyAlignment="1">
      <alignment horizontal="right"/>
    </xf>
    <xf numFmtId="0" fontId="1" fillId="5" borderId="0" xfId="0" applyFont="1" applyFill="1"/>
    <xf numFmtId="0" fontId="0" fillId="5" borderId="0" xfId="0" applyFill="1"/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4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3" fontId="0" fillId="0" borderId="0" xfId="0" applyNumberFormat="1"/>
    <xf numFmtId="166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167" fontId="1" fillId="0" borderId="1" xfId="0" applyNumberFormat="1" applyFont="1" applyBorder="1"/>
    <xf numFmtId="0" fontId="10" fillId="0" borderId="1" xfId="0" applyFont="1" applyBorder="1"/>
    <xf numFmtId="166" fontId="1" fillId="0" borderId="1" xfId="0" applyNumberFormat="1" applyFont="1" applyBorder="1"/>
    <xf numFmtId="10" fontId="0" fillId="0" borderId="0" xfId="4" applyNumberFormat="1" applyFont="1"/>
    <xf numFmtId="10" fontId="0" fillId="0" borderId="0" xfId="0" applyNumberFormat="1"/>
    <xf numFmtId="168" fontId="0" fillId="0" borderId="0" xfId="0" applyNumberFormat="1" applyAlignment="1">
      <alignment horizontal="right"/>
    </xf>
    <xf numFmtId="0" fontId="11" fillId="0" borderId="0" xfId="0" applyFont="1" applyAlignment="1">
      <alignment horizontal="left"/>
    </xf>
    <xf numFmtId="169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169" fontId="0" fillId="0" borderId="1" xfId="0" applyNumberFormat="1" applyBorder="1"/>
    <xf numFmtId="17" fontId="7" fillId="4" borderId="0" xfId="0" applyNumberFormat="1" applyFont="1" applyFill="1" applyAlignment="1">
      <alignment horizontal="center"/>
    </xf>
    <xf numFmtId="170" fontId="0" fillId="0" borderId="0" xfId="0" applyNumberFormat="1"/>
    <xf numFmtId="0" fontId="5" fillId="4" borderId="0" xfId="0" applyFont="1" applyFill="1"/>
    <xf numFmtId="171" fontId="0" fillId="0" borderId="0" xfId="0" applyNumberFormat="1" applyAlignment="1">
      <alignment horizontal="right"/>
    </xf>
    <xf numFmtId="173" fontId="12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3" fontId="9" fillId="0" borderId="0" xfId="0" applyNumberFormat="1" applyFont="1"/>
    <xf numFmtId="0" fontId="8" fillId="0" borderId="0" xfId="0" applyFont="1" applyAlignment="1">
      <alignment horizontal="center"/>
    </xf>
    <xf numFmtId="0" fontId="13" fillId="0" borderId="0" xfId="0" applyFont="1"/>
    <xf numFmtId="0" fontId="0" fillId="0" borderId="3" xfId="0" applyBorder="1"/>
    <xf numFmtId="0" fontId="12" fillId="0" borderId="0" xfId="0" applyFont="1"/>
    <xf numFmtId="10" fontId="12" fillId="0" borderId="0" xfId="4" applyNumberFormat="1" applyFont="1"/>
    <xf numFmtId="9" fontId="0" fillId="0" borderId="0" xfId="4" applyFont="1"/>
    <xf numFmtId="10" fontId="0" fillId="6" borderId="0" xfId="4" applyNumberFormat="1" applyFont="1" applyFill="1"/>
    <xf numFmtId="2" fontId="12" fillId="0" borderId="0" xfId="0" applyNumberFormat="1" applyFont="1"/>
    <xf numFmtId="2" fontId="0" fillId="6" borderId="0" xfId="0" applyNumberFormat="1" applyFill="1"/>
    <xf numFmtId="0" fontId="1" fillId="0" borderId="3" xfId="0" applyFont="1" applyBorder="1"/>
    <xf numFmtId="0" fontId="1" fillId="0" borderId="2" xfId="0" applyFont="1" applyBorder="1"/>
    <xf numFmtId="10" fontId="0" fillId="0" borderId="3" xfId="0" applyNumberFormat="1" applyBorder="1"/>
    <xf numFmtId="10" fontId="0" fillId="0" borderId="2" xfId="0" applyNumberFormat="1" applyBorder="1"/>
    <xf numFmtId="10" fontId="0" fillId="0" borderId="3" xfId="4" applyNumberFormat="1" applyFont="1" applyBorder="1"/>
    <xf numFmtId="10" fontId="0" fillId="0" borderId="2" xfId="4" applyNumberFormat="1" applyFont="1" applyBorder="1"/>
    <xf numFmtId="2" fontId="0" fillId="0" borderId="3" xfId="4" applyNumberFormat="1" applyFont="1" applyBorder="1"/>
    <xf numFmtId="2" fontId="0" fillId="0" borderId="2" xfId="4" applyNumberFormat="1" applyFont="1" applyBorder="1"/>
    <xf numFmtId="0" fontId="0" fillId="0" borderId="4" xfId="0" applyBorder="1"/>
    <xf numFmtId="0" fontId="1" fillId="0" borderId="2" xfId="0" applyFont="1" applyBorder="1" applyAlignment="1">
      <alignment horizontal="right"/>
    </xf>
    <xf numFmtId="2" fontId="0" fillId="0" borderId="4" xfId="0" applyNumberFormat="1" applyBorder="1"/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10" fontId="12" fillId="0" borderId="0" xfId="0" applyNumberFormat="1" applyFont="1" applyAlignment="1">
      <alignment horizontal="right"/>
    </xf>
    <xf numFmtId="10" fontId="0" fillId="6" borderId="4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10" fontId="0" fillId="0" borderId="4" xfId="4" applyNumberFormat="1" applyFont="1" applyBorder="1" applyAlignment="1">
      <alignment horizontal="right"/>
    </xf>
    <xf numFmtId="10" fontId="0" fillId="0" borderId="4" xfId="0" applyNumberFormat="1" applyBorder="1" applyAlignment="1">
      <alignment horizontal="right"/>
    </xf>
    <xf numFmtId="10" fontId="0" fillId="6" borderId="0" xfId="0" applyNumberFormat="1" applyFill="1" applyAlignment="1">
      <alignment horizontal="right"/>
    </xf>
    <xf numFmtId="170" fontId="12" fillId="0" borderId="0" xfId="0" applyNumberFormat="1" applyFont="1"/>
    <xf numFmtId="170" fontId="12" fillId="0" borderId="0" xfId="0" applyNumberFormat="1" applyFont="1" applyAlignment="1">
      <alignment horizontal="right"/>
    </xf>
    <xf numFmtId="170" fontId="0" fillId="0" borderId="4" xfId="0" applyNumberFormat="1" applyBorder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17" fontId="0" fillId="0" borderId="2" xfId="0" applyNumberFormat="1" applyBorder="1"/>
    <xf numFmtId="43" fontId="0" fillId="0" borderId="0" xfId="0" applyNumberFormat="1"/>
    <xf numFmtId="0" fontId="5" fillId="0" borderId="0" xfId="0" applyFont="1" applyAlignment="1">
      <alignment horizontal="center"/>
    </xf>
    <xf numFmtId="43" fontId="1" fillId="0" borderId="0" xfId="0" applyNumberFormat="1" applyFont="1"/>
    <xf numFmtId="9" fontId="1" fillId="0" borderId="0" xfId="4" applyFont="1"/>
    <xf numFmtId="10" fontId="1" fillId="0" borderId="0" xfId="4" applyNumberFormat="1" applyFont="1"/>
    <xf numFmtId="10" fontId="3" fillId="0" borderId="0" xfId="4" applyNumberFormat="1" applyFont="1"/>
    <xf numFmtId="0" fontId="0" fillId="0" borderId="5" xfId="0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5" xfId="0" applyFont="1" applyBorder="1" applyAlignment="1">
      <alignment horizontal="right"/>
    </xf>
    <xf numFmtId="10" fontId="0" fillId="0" borderId="5" xfId="4" applyNumberFormat="1" applyFon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10" fontId="12" fillId="0" borderId="5" xfId="0" applyNumberFormat="1" applyFont="1" applyBorder="1" applyAlignment="1">
      <alignment horizontal="right"/>
    </xf>
    <xf numFmtId="0" fontId="20" fillId="0" borderId="0" xfId="0" applyFont="1"/>
    <xf numFmtId="10" fontId="1" fillId="0" borderId="0" xfId="0" applyNumberFormat="1" applyFont="1"/>
    <xf numFmtId="0" fontId="22" fillId="9" borderId="9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right" vertical="center"/>
    </xf>
    <xf numFmtId="3" fontId="23" fillId="7" borderId="9" xfId="0" applyNumberFormat="1" applyFont="1" applyFill="1" applyBorder="1" applyAlignment="1">
      <alignment horizontal="right" vertical="center"/>
    </xf>
    <xf numFmtId="174" fontId="23" fillId="7" borderId="9" xfId="0" applyNumberFormat="1" applyFont="1" applyFill="1" applyBorder="1" applyAlignment="1">
      <alignment horizontal="right" vertical="center"/>
    </xf>
    <xf numFmtId="0" fontId="23" fillId="10" borderId="9" xfId="0" applyFont="1" applyFill="1" applyBorder="1" applyAlignment="1">
      <alignment horizontal="right" vertical="center"/>
    </xf>
    <xf numFmtId="3" fontId="23" fillId="10" borderId="9" xfId="0" applyNumberFormat="1" applyFont="1" applyFill="1" applyBorder="1" applyAlignment="1">
      <alignment horizontal="right" vertical="center"/>
    </xf>
    <xf numFmtId="174" fontId="23" fillId="10" borderId="9" xfId="0" applyNumberFormat="1" applyFont="1" applyFill="1" applyBorder="1" applyAlignment="1">
      <alignment horizontal="right" vertical="center"/>
    </xf>
    <xf numFmtId="0" fontId="24" fillId="11" borderId="10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4" fillId="7" borderId="9" xfId="0" applyFont="1" applyFill="1" applyBorder="1" applyAlignment="1">
      <alignment horizontal="left" vertical="center"/>
    </xf>
    <xf numFmtId="0" fontId="24" fillId="10" borderId="9" xfId="0" applyFont="1" applyFill="1" applyBorder="1" applyAlignment="1">
      <alignment horizontal="left" vertical="center"/>
    </xf>
    <xf numFmtId="0" fontId="27" fillId="10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left" vertical="center"/>
    </xf>
    <xf numFmtId="0" fontId="26" fillId="7" borderId="11" xfId="0" applyFont="1" applyFill="1" applyBorder="1" applyAlignment="1">
      <alignment horizontal="left" vertical="center" wrapText="1"/>
    </xf>
    <xf numFmtId="0" fontId="26" fillId="10" borderId="11" xfId="0" applyFont="1" applyFill="1" applyBorder="1" applyAlignment="1">
      <alignment horizontal="left" vertical="center" wrapText="1"/>
    </xf>
    <xf numFmtId="0" fontId="17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0" fillId="9" borderId="0" xfId="0" applyFill="1"/>
    <xf numFmtId="0" fontId="28" fillId="9" borderId="0" xfId="0" applyFont="1" applyFill="1" applyAlignment="1">
      <alignment horizontal="center" vertical="center"/>
    </xf>
    <xf numFmtId="0" fontId="0" fillId="12" borderId="0" xfId="0" applyFill="1"/>
    <xf numFmtId="0" fontId="16" fillId="7" borderId="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3">
    <dxf>
      <font>
        <b/>
        <i val="0"/>
        <color theme="0"/>
      </font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CC00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Net Profit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[1]Dashboard!$B$13:$B$22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[1]HistoricalFS!$C$6:$L$6</c:f>
              <c:numCache>
                <c:formatCode>General</c:formatCode>
                <c:ptCount val="10"/>
                <c:pt idx="0">
                  <c:v>108646</c:v>
                </c:pt>
                <c:pt idx="1">
                  <c:v>117966</c:v>
                </c:pt>
                <c:pt idx="2">
                  <c:v>123104</c:v>
                </c:pt>
                <c:pt idx="3">
                  <c:v>146463</c:v>
                </c:pt>
                <c:pt idx="4">
                  <c:v>156949</c:v>
                </c:pt>
                <c:pt idx="5">
                  <c:v>164177</c:v>
                </c:pt>
                <c:pt idx="6">
                  <c:v>191754</c:v>
                </c:pt>
                <c:pt idx="7">
                  <c:v>225458</c:v>
                </c:pt>
                <c:pt idx="8">
                  <c:v>240893</c:v>
                </c:pt>
                <c:pt idx="9">
                  <c:v>255324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A-4C0A-A5B1-9CBDAB0BB6C8}"/>
            </c:ext>
          </c:extLst>
        </c:ser>
        <c:ser>
          <c:idx val="1"/>
          <c:order val="1"/>
          <c:tx>
            <c:v>Net Profit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[1]Dashboard!$B$13:$B$22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[1]HistoricalFS!$C$33:$L$33</c:f>
              <c:numCache>
                <c:formatCode>General</c:formatCode>
                <c:ptCount val="10"/>
                <c:pt idx="0">
                  <c:v>21254</c:v>
                </c:pt>
                <c:pt idx="1">
                  <c:v>22136</c:v>
                </c:pt>
                <c:pt idx="2">
                  <c:v>22238</c:v>
                </c:pt>
                <c:pt idx="3">
                  <c:v>27251</c:v>
                </c:pt>
                <c:pt idx="4">
                  <c:v>27855</c:v>
                </c:pt>
                <c:pt idx="5">
                  <c:v>30646</c:v>
                </c:pt>
                <c:pt idx="6">
                  <c:v>34431</c:v>
                </c:pt>
                <c:pt idx="7">
                  <c:v>38854</c:v>
                </c:pt>
                <c:pt idx="8">
                  <c:v>42635</c:v>
                </c:pt>
                <c:pt idx="9">
                  <c:v>44835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A-4C0A-A5B1-9CBDAB0BB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3595336"/>
        <c:axId val="48027117"/>
      </c:barChart>
      <c:catAx>
        <c:axId val="8359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7117"/>
        <c:crosses val="autoZero"/>
        <c:auto val="1"/>
        <c:lblAlgn val="ctr"/>
        <c:lblOffset val="100"/>
        <c:noMultiLvlLbl val="0"/>
      </c:catAx>
      <c:valAx>
        <c:axId val="4802711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359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 vs Operating Cash Flow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[1]Dashboard!$B$13:$B$22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[1]HistoricalFS!$C$18:$L$18</c:f>
              <c:numCache>
                <c:formatCode>General</c:formatCode>
                <c:ptCount val="10"/>
                <c:pt idx="0">
                  <c:v>30677</c:v>
                </c:pt>
                <c:pt idx="1">
                  <c:v>32311</c:v>
                </c:pt>
                <c:pt idx="2">
                  <c:v>32516</c:v>
                </c:pt>
                <c:pt idx="3">
                  <c:v>39506</c:v>
                </c:pt>
                <c:pt idx="4">
                  <c:v>42109</c:v>
                </c:pt>
                <c:pt idx="5">
                  <c:v>46546</c:v>
                </c:pt>
                <c:pt idx="6">
                  <c:v>53057</c:v>
                </c:pt>
                <c:pt idx="7">
                  <c:v>59259</c:v>
                </c:pt>
                <c:pt idx="8">
                  <c:v>64296</c:v>
                </c:pt>
                <c:pt idx="9">
                  <c:v>67407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0-4447-95E9-A3616016A2E5}"/>
            </c:ext>
          </c:extLst>
        </c:ser>
        <c:ser>
          <c:idx val="1"/>
          <c:order val="1"/>
          <c:tx>
            <c:v>Operating Cash Flow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[1]Dashboard!$B$13:$B$22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[1]HistoricalFS!$C$78:$L$78</c:f>
              <c:numCache>
                <c:formatCode>General</c:formatCode>
                <c:ptCount val="10"/>
                <c:pt idx="0">
                  <c:v>19140</c:v>
                </c:pt>
                <c:pt idx="1">
                  <c:v>24113</c:v>
                </c:pt>
                <c:pt idx="2">
                  <c:v>27042</c:v>
                </c:pt>
                <c:pt idx="3">
                  <c:v>27795</c:v>
                </c:pt>
                <c:pt idx="4">
                  <c:v>30546</c:v>
                </c:pt>
                <c:pt idx="5">
                  <c:v>38702</c:v>
                </c:pt>
                <c:pt idx="6">
                  <c:v>42150</c:v>
                </c:pt>
                <c:pt idx="7">
                  <c:v>43403</c:v>
                </c:pt>
                <c:pt idx="8">
                  <c:v>41420</c:v>
                </c:pt>
                <c:pt idx="9">
                  <c:v>47052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0-4447-95E9-A3616016A2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9596242"/>
        <c:axId val="67839001"/>
      </c:barChart>
      <c:catAx>
        <c:axId val="795962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9001"/>
        <c:crosses val="autoZero"/>
        <c:auto val="1"/>
        <c:lblAlgn val="ctr"/>
        <c:lblOffset val="100"/>
        <c:noMultiLvlLbl val="0"/>
      </c:catAx>
      <c:valAx>
        <c:axId val="6783900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95962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 &amp; ROCE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[1]Dashboard!$K$12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cat>
            <c:numRef>
              <c:f>[1]Dashboard!$H$13:$H$22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[1]Dashboard!$K$13:$K$22</c:f>
              <c:numCache>
                <c:formatCode>General</c:formatCode>
                <c:ptCount val="10"/>
                <c:pt idx="0">
                  <c:v>0.29899999999999999</c:v>
                </c:pt>
                <c:pt idx="1">
                  <c:v>0.25679999999999997</c:v>
                </c:pt>
                <c:pt idx="2">
                  <c:v>0.26119999999999999</c:v>
                </c:pt>
                <c:pt idx="3">
                  <c:v>0.30470000000000003</c:v>
                </c:pt>
                <c:pt idx="4">
                  <c:v>0.33110000000000001</c:v>
                </c:pt>
                <c:pt idx="5">
                  <c:v>0.35460000000000003</c:v>
                </c:pt>
                <c:pt idx="6">
                  <c:v>0.38629999999999998</c:v>
                </c:pt>
                <c:pt idx="7">
                  <c:v>0.42970000000000003</c:v>
                </c:pt>
                <c:pt idx="8">
                  <c:v>0.47120000000000001</c:v>
                </c:pt>
                <c:pt idx="9">
                  <c:v>0.47320000000000001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7-4103-94A0-9D8657ECC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431919"/>
        <c:axId val="788436719"/>
      </c:barChart>
      <c:lineChart>
        <c:grouping val="standard"/>
        <c:varyColors val="0"/>
        <c:ser>
          <c:idx val="1"/>
          <c:order val="1"/>
          <c:tx>
            <c:strRef>
              <c:f>[1]Dashboard!$L$12</c:f>
              <c:strCache>
                <c:ptCount val="1"/>
                <c:pt idx="0">
                  <c:v>ROCE</c:v>
                </c:pt>
              </c:strCache>
            </c:strRef>
          </c:tx>
          <c:spPr>
            <a:ln w="349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[1]Dashboard!$L$13:$L$22</c:f>
              <c:numCache>
                <c:formatCode>General</c:formatCode>
                <c:ptCount val="10"/>
                <c:pt idx="0">
                  <c:v>0.4037</c:v>
                </c:pt>
                <c:pt idx="1">
                  <c:v>0.35060000000000002</c:v>
                </c:pt>
                <c:pt idx="2">
                  <c:v>0.35730000000000001</c:v>
                </c:pt>
                <c:pt idx="3">
                  <c:v>0.41839999999999999</c:v>
                </c:pt>
                <c:pt idx="4">
                  <c:v>0.41799999999999998</c:v>
                </c:pt>
                <c:pt idx="5">
                  <c:v>0.45079999999999998</c:v>
                </c:pt>
                <c:pt idx="6">
                  <c:v>0.49969999999999998</c:v>
                </c:pt>
                <c:pt idx="7">
                  <c:v>0.55279999999999996</c:v>
                </c:pt>
                <c:pt idx="8">
                  <c:v>0.60209999999999997</c:v>
                </c:pt>
                <c:pt idx="9">
                  <c:v>0.59689999999999999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7-4103-94A0-9D8657ECC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431919"/>
        <c:axId val="788436719"/>
      </c:lineChart>
      <c:catAx>
        <c:axId val="78843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6719"/>
        <c:crosses val="autoZero"/>
        <c:auto val="1"/>
        <c:lblAlgn val="ctr"/>
        <c:lblOffset val="100"/>
        <c:noMultiLvlLbl val="0"/>
      </c:catAx>
      <c:valAx>
        <c:axId val="7884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 Margin &amp; EBITDA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[1]Dashboard!$I$12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cat>
            <c:numRef>
              <c:f>[1]Dashboard!$H$13:$H$22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[1]Dashboard!$I$13:$I$22</c:f>
              <c:numCache>
                <c:formatCode>General</c:formatCode>
                <c:ptCount val="10"/>
                <c:pt idx="0">
                  <c:v>0.22339999999999999</c:v>
                </c:pt>
                <c:pt idx="1">
                  <c:v>0.2228</c:v>
                </c:pt>
                <c:pt idx="2">
                  <c:v>0.20979999999999999</c:v>
                </c:pt>
                <c:pt idx="3">
                  <c:v>0.21490000000000001</c:v>
                </c:pt>
                <c:pt idx="4">
                  <c:v>0.20610000000000001</c:v>
                </c:pt>
                <c:pt idx="5">
                  <c:v>0.19750000000000001</c:v>
                </c:pt>
                <c:pt idx="6">
                  <c:v>0.19989999999999999</c:v>
                </c:pt>
                <c:pt idx="7">
                  <c:v>0.18690000000000001</c:v>
                </c:pt>
                <c:pt idx="8">
                  <c:v>0.19059999999999999</c:v>
                </c:pt>
                <c:pt idx="9">
                  <c:v>0.19009999999999999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5-4E47-9C9E-DFFF45D1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448719"/>
        <c:axId val="788436239"/>
      </c:barChart>
      <c:lineChart>
        <c:grouping val="standard"/>
        <c:varyColors val="0"/>
        <c:ser>
          <c:idx val="1"/>
          <c:order val="1"/>
          <c:tx>
            <c:strRef>
              <c:f>[1]Dashboard!$J$12</c:f>
              <c:strCache>
                <c:ptCount val="1"/>
                <c:pt idx="0">
                  <c:v>EBITDA Margin</c:v>
                </c:pt>
              </c:strCache>
            </c:strRef>
          </c:tx>
          <c:spPr>
            <a:ln w="349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[1]Dashboard!$J$13:$J$22</c:f>
              <c:numCache>
                <c:formatCode>General</c:formatCode>
                <c:ptCount val="10"/>
                <c:pt idx="0">
                  <c:v>0.31009999999999999</c:v>
                </c:pt>
                <c:pt idx="1">
                  <c:v>0.30909999999999999</c:v>
                </c:pt>
                <c:pt idx="2">
                  <c:v>0.29330000000000001</c:v>
                </c:pt>
                <c:pt idx="3">
                  <c:v>0.29859999999999998</c:v>
                </c:pt>
                <c:pt idx="4">
                  <c:v>0.2969</c:v>
                </c:pt>
                <c:pt idx="5">
                  <c:v>0.2944</c:v>
                </c:pt>
                <c:pt idx="6">
                  <c:v>0.29699999999999999</c:v>
                </c:pt>
                <c:pt idx="7">
                  <c:v>0.27739999999999998</c:v>
                </c:pt>
                <c:pt idx="8">
                  <c:v>0.28050000000000003</c:v>
                </c:pt>
                <c:pt idx="9">
                  <c:v>0.27860000000000001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35-4E47-9C9E-DFFF45D1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448719"/>
        <c:axId val="788436239"/>
      </c:lineChart>
      <c:catAx>
        <c:axId val="7884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6239"/>
        <c:crosses val="autoZero"/>
        <c:auto val="1"/>
        <c:lblAlgn val="ctr"/>
        <c:lblOffset val="100"/>
        <c:noMultiLvlLbl val="0"/>
      </c:catAx>
      <c:valAx>
        <c:axId val="7884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1</xdr:rowOff>
    </xdr:from>
    <xdr:to>
      <xdr:col>5</xdr:col>
      <xdr:colOff>979715</xdr:colOff>
      <xdr:row>37</xdr:row>
      <xdr:rowOff>195944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6354F-379C-4C70-A046-AA652E2D3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11</xdr:col>
      <xdr:colOff>985157</xdr:colOff>
      <xdr:row>38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64AB5E-C3F7-449E-8F13-BC01779B1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19049</xdr:colOff>
      <xdr:row>39</xdr:row>
      <xdr:rowOff>2722</xdr:rowOff>
    </xdr:from>
    <xdr:to>
      <xdr:col>5</xdr:col>
      <xdr:colOff>974272</xdr:colOff>
      <xdr:row>51</xdr:row>
      <xdr:rowOff>223157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B9B814-5AD8-47C8-805F-80E51D7A7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13606</xdr:colOff>
      <xdr:row>38</xdr:row>
      <xdr:rowOff>236764</xdr:rowOff>
    </xdr:from>
    <xdr:to>
      <xdr:col>11</xdr:col>
      <xdr:colOff>974271</xdr:colOff>
      <xdr:row>51</xdr:row>
      <xdr:rowOff>127907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89A75B-3966-42A1-89B9-75AA906E2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nm\Downloads\TCS_Dashboard.xlsx" TargetMode="External"/><Relationship Id="rId1" Type="http://schemas.openxmlformats.org/officeDocument/2006/relationships/externalLinkPath" Target="file:///C:\Users\chinm\Downloads\TC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Financials&gt;"/>
      <sheetName val="HistoricalFS"/>
      <sheetName val="Ratio Analysis"/>
      <sheetName val="Sheet2"/>
      <sheetName val=" Forecasting"/>
      <sheetName val="WACC"/>
      <sheetName val="Data&gt;"/>
      <sheetName val="Data Sheet"/>
      <sheetName val="Common Size Statement"/>
      <sheetName val="Cash Flow Data"/>
    </sheetNames>
    <sheetDataSet>
      <sheetData sheetId="0">
        <row r="12">
          <cell r="I12" t="str">
            <v>Net Margin</v>
          </cell>
          <cell r="J12" t="str">
            <v>EBITDA Margin</v>
          </cell>
          <cell r="K12" t="str">
            <v>ROE</v>
          </cell>
          <cell r="L12" t="str">
            <v>ROCE</v>
          </cell>
        </row>
        <row r="13">
          <cell r="B13">
            <v>2016</v>
          </cell>
          <cell r="H13">
            <v>2016</v>
          </cell>
          <cell r="I13">
            <v>0.22339999999999999</v>
          </cell>
          <cell r="J13">
            <v>0.31009999999999999</v>
          </cell>
          <cell r="K13">
            <v>0.29899999999999999</v>
          </cell>
          <cell r="L13">
            <v>0.4037</v>
          </cell>
        </row>
        <row r="14">
          <cell r="B14">
            <v>2017</v>
          </cell>
          <cell r="H14">
            <v>2017</v>
          </cell>
          <cell r="I14">
            <v>0.2228</v>
          </cell>
          <cell r="J14">
            <v>0.30909999999999999</v>
          </cell>
          <cell r="K14">
            <v>0.25679999999999997</v>
          </cell>
          <cell r="L14">
            <v>0.35060000000000002</v>
          </cell>
        </row>
        <row r="15">
          <cell r="B15">
            <v>2018</v>
          </cell>
          <cell r="H15">
            <v>2018</v>
          </cell>
          <cell r="I15">
            <v>0.20979999999999999</v>
          </cell>
          <cell r="J15">
            <v>0.29330000000000001</v>
          </cell>
          <cell r="K15">
            <v>0.26119999999999999</v>
          </cell>
          <cell r="L15">
            <v>0.35730000000000001</v>
          </cell>
        </row>
        <row r="16">
          <cell r="B16">
            <v>2019</v>
          </cell>
          <cell r="H16">
            <v>2019</v>
          </cell>
          <cell r="I16">
            <v>0.21490000000000001</v>
          </cell>
          <cell r="J16">
            <v>0.29859999999999998</v>
          </cell>
          <cell r="K16">
            <v>0.30470000000000003</v>
          </cell>
          <cell r="L16">
            <v>0.41839999999999999</v>
          </cell>
        </row>
        <row r="17">
          <cell r="B17">
            <v>2020</v>
          </cell>
          <cell r="H17">
            <v>2020</v>
          </cell>
          <cell r="I17">
            <v>0.20610000000000001</v>
          </cell>
          <cell r="J17">
            <v>0.2969</v>
          </cell>
          <cell r="K17">
            <v>0.33110000000000001</v>
          </cell>
          <cell r="L17">
            <v>0.41799999999999998</v>
          </cell>
        </row>
        <row r="18">
          <cell r="B18">
            <v>2021</v>
          </cell>
          <cell r="H18">
            <v>2021</v>
          </cell>
          <cell r="I18">
            <v>0.19750000000000001</v>
          </cell>
          <cell r="J18">
            <v>0.2944</v>
          </cell>
          <cell r="K18">
            <v>0.35460000000000003</v>
          </cell>
          <cell r="L18">
            <v>0.45079999999999998</v>
          </cell>
        </row>
        <row r="19">
          <cell r="B19">
            <v>2022</v>
          </cell>
          <cell r="H19">
            <v>2022</v>
          </cell>
          <cell r="I19">
            <v>0.19989999999999999</v>
          </cell>
          <cell r="J19">
            <v>0.29699999999999999</v>
          </cell>
          <cell r="K19">
            <v>0.38629999999999998</v>
          </cell>
          <cell r="L19">
            <v>0.49969999999999998</v>
          </cell>
        </row>
        <row r="20">
          <cell r="B20">
            <v>2023</v>
          </cell>
          <cell r="H20">
            <v>2023</v>
          </cell>
          <cell r="I20">
            <v>0.18690000000000001</v>
          </cell>
          <cell r="J20">
            <v>0.27739999999999998</v>
          </cell>
          <cell r="K20">
            <v>0.42970000000000003</v>
          </cell>
          <cell r="L20">
            <v>0.55279999999999996</v>
          </cell>
        </row>
        <row r="21">
          <cell r="B21">
            <v>2024</v>
          </cell>
          <cell r="H21">
            <v>2024</v>
          </cell>
          <cell r="I21">
            <v>0.19059999999999999</v>
          </cell>
          <cell r="J21">
            <v>0.28050000000000003</v>
          </cell>
          <cell r="K21">
            <v>0.47120000000000001</v>
          </cell>
          <cell r="L21">
            <v>0.60209999999999997</v>
          </cell>
        </row>
        <row r="22">
          <cell r="B22">
            <v>2025</v>
          </cell>
          <cell r="H22">
            <v>2025</v>
          </cell>
          <cell r="I22">
            <v>0.19009999999999999</v>
          </cell>
          <cell r="J22">
            <v>0.27860000000000001</v>
          </cell>
          <cell r="K22">
            <v>0.47320000000000001</v>
          </cell>
          <cell r="L22">
            <v>0.59689999999999999</v>
          </cell>
        </row>
      </sheetData>
      <sheetData sheetId="1"/>
      <sheetData sheetId="2">
        <row r="6">
          <cell r="C6">
            <v>108646</v>
          </cell>
          <cell r="D6">
            <v>117966</v>
          </cell>
          <cell r="E6">
            <v>123104</v>
          </cell>
          <cell r="F6">
            <v>146463</v>
          </cell>
          <cell r="G6">
            <v>156949</v>
          </cell>
          <cell r="H6">
            <v>164177</v>
          </cell>
          <cell r="I6">
            <v>191754</v>
          </cell>
          <cell r="J6">
            <v>225458</v>
          </cell>
          <cell r="K6">
            <v>240893</v>
          </cell>
          <cell r="L6">
            <v>255324</v>
          </cell>
        </row>
        <row r="18">
          <cell r="C18">
            <v>30677</v>
          </cell>
          <cell r="D18">
            <v>32311</v>
          </cell>
          <cell r="E18">
            <v>32516</v>
          </cell>
          <cell r="F18">
            <v>39506</v>
          </cell>
          <cell r="G18">
            <v>42109</v>
          </cell>
          <cell r="H18">
            <v>46546</v>
          </cell>
          <cell r="I18">
            <v>53057</v>
          </cell>
          <cell r="J18">
            <v>59259</v>
          </cell>
          <cell r="K18">
            <v>64296</v>
          </cell>
          <cell r="L18">
            <v>67407</v>
          </cell>
        </row>
        <row r="33">
          <cell r="C33">
            <v>21254</v>
          </cell>
          <cell r="D33">
            <v>22136</v>
          </cell>
          <cell r="E33">
            <v>22238</v>
          </cell>
          <cell r="F33">
            <v>27251</v>
          </cell>
          <cell r="G33">
            <v>27855</v>
          </cell>
          <cell r="H33">
            <v>30646</v>
          </cell>
          <cell r="I33">
            <v>34431</v>
          </cell>
          <cell r="J33">
            <v>38854</v>
          </cell>
          <cell r="K33">
            <v>42635</v>
          </cell>
          <cell r="L33">
            <v>44835</v>
          </cell>
        </row>
        <row r="78">
          <cell r="C78">
            <v>19140</v>
          </cell>
          <cell r="D78">
            <v>24113</v>
          </cell>
          <cell r="E78">
            <v>27042</v>
          </cell>
          <cell r="F78">
            <v>27795</v>
          </cell>
          <cell r="G78">
            <v>30546</v>
          </cell>
          <cell r="H78">
            <v>38702</v>
          </cell>
          <cell r="I78">
            <v>42150</v>
          </cell>
          <cell r="J78">
            <v>43403</v>
          </cell>
          <cell r="K78">
            <v>41420</v>
          </cell>
          <cell r="L78">
            <v>47052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  <wetp:taskpane dockstate="right" visibility="0" width="613" row="4">
    <wetp:webextensionref xmlns:r="http://schemas.openxmlformats.org/officeDocument/2006/relationships" r:id="rId2"/>
  </wetp:taskpane>
  <wetp:taskpane dockstate="right" visibility="0" width="70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1B7D690-8F99-425A-BD0F-ACEA90C27F27}">
  <we:reference id="wa104100404" version="3.0.0.1" store="en-US" storeType="OMEX"/>
  <we:alternateReferences>
    <we:reference id="WA104100404" version="3.0.0.1" store="" storeType="OMEX"/>
  </we:alternateReferences>
  <we:properties>
    <we:property name="UniqueID" value="&quot;202628177296049244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9218CAD-DA46-47DD-B8DD-6136135B46A5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6890D9B7-A951-4F3F-B71D-BB9C8F62F3B9}"/>
  </we:bindings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6671FC6-36FD-433C-9BB9-8FFBD7942190}">
  <we:reference id="wa200000018" version="25.2.0.0" store="en-US" storeType="OMEX"/>
  <we:alternateReferences>
    <we:reference id="wa200000018" version="25.2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7F2E-EDE8-40C2-A49F-FCCE5BB96800}">
  <dimension ref="A1:M81"/>
  <sheetViews>
    <sheetView showGridLines="0" topLeftCell="A11" workbookViewId="0">
      <selection activeCell="Q53" sqref="Q53"/>
    </sheetView>
  </sheetViews>
  <sheetFormatPr defaultColWidth="8.69140625" defaultRowHeight="14.6" x14ac:dyDescent="0.4"/>
  <cols>
    <col min="1" max="1" width="2" customWidth="1"/>
    <col min="2" max="2" width="22" customWidth="1"/>
    <col min="3" max="6" width="14" customWidth="1"/>
    <col min="7" max="7" width="2" customWidth="1"/>
    <col min="8" max="8" width="22" customWidth="1"/>
    <col min="9" max="12" width="14" customWidth="1"/>
    <col min="13" max="13" width="2" customWidth="1"/>
  </cols>
  <sheetData>
    <row r="1" spans="1:13" ht="7.5" customHeight="1" x14ac:dyDescent="0.4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1:13" ht="31.5" customHeight="1" x14ac:dyDescent="0.4">
      <c r="A2" s="125" t="s">
        <v>262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3" ht="25.5" customHeight="1" x14ac:dyDescent="0.4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 ht="7.5" customHeight="1" x14ac:dyDescent="0.4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3" ht="9.75" customHeight="1" x14ac:dyDescent="0.4"/>
    <row r="6" spans="1:13" ht="18" customHeight="1" x14ac:dyDescent="0.4">
      <c r="B6" s="127" t="s">
        <v>221</v>
      </c>
      <c r="C6" s="127"/>
      <c r="D6" s="127" t="s">
        <v>222</v>
      </c>
      <c r="E6" s="127"/>
      <c r="F6" s="127" t="s">
        <v>127</v>
      </c>
      <c r="G6" s="127"/>
      <c r="H6" s="127" t="s">
        <v>223</v>
      </c>
      <c r="I6" s="127"/>
      <c r="J6" s="127" t="s">
        <v>224</v>
      </c>
      <c r="K6" s="127"/>
    </row>
    <row r="7" spans="1:13" ht="24" customHeight="1" x14ac:dyDescent="0.4">
      <c r="B7" s="121" t="s">
        <v>263</v>
      </c>
      <c r="C7" s="121"/>
      <c r="D7" s="121" t="s">
        <v>264</v>
      </c>
      <c r="E7" s="121"/>
      <c r="F7" s="121" t="s">
        <v>265</v>
      </c>
      <c r="G7" s="121"/>
      <c r="H7" s="121" t="s">
        <v>266</v>
      </c>
      <c r="I7" s="121"/>
      <c r="J7" s="121" t="s">
        <v>267</v>
      </c>
      <c r="K7" s="121"/>
    </row>
    <row r="8" spans="1:13" ht="18" customHeight="1" x14ac:dyDescent="0.4">
      <c r="B8" s="122" t="s">
        <v>225</v>
      </c>
      <c r="C8" s="122"/>
      <c r="D8" s="122" t="s">
        <v>226</v>
      </c>
      <c r="E8" s="122"/>
      <c r="F8" s="123" t="s">
        <v>268</v>
      </c>
      <c r="G8" s="123"/>
      <c r="H8" s="122" t="s">
        <v>227</v>
      </c>
      <c r="I8" s="122"/>
      <c r="J8" s="122" t="s">
        <v>269</v>
      </c>
      <c r="K8" s="122"/>
    </row>
    <row r="9" spans="1:13" ht="9.75" customHeight="1" x14ac:dyDescent="0.4"/>
    <row r="10" spans="1:13" ht="18" customHeight="1" x14ac:dyDescent="0.4"/>
    <row r="11" spans="1:13" ht="19.5" customHeight="1" x14ac:dyDescent="0.4">
      <c r="B11" s="118" t="s">
        <v>229</v>
      </c>
      <c r="C11" s="118"/>
      <c r="D11" s="118"/>
      <c r="E11" s="118"/>
      <c r="F11" s="118"/>
      <c r="H11" s="118" t="s">
        <v>230</v>
      </c>
      <c r="I11" s="118"/>
      <c r="J11" s="118"/>
      <c r="K11" s="118"/>
      <c r="L11" s="118"/>
    </row>
    <row r="12" spans="1:13" ht="18" customHeight="1" x14ac:dyDescent="0.4">
      <c r="B12" s="106" t="s">
        <v>153</v>
      </c>
      <c r="C12" s="106" t="s">
        <v>231</v>
      </c>
      <c r="D12" s="106" t="s">
        <v>75</v>
      </c>
      <c r="E12" s="106" t="s">
        <v>203</v>
      </c>
      <c r="F12" s="106" t="s">
        <v>232</v>
      </c>
      <c r="H12" s="106" t="s">
        <v>153</v>
      </c>
      <c r="I12" s="106" t="s">
        <v>233</v>
      </c>
      <c r="J12" s="106" t="s">
        <v>127</v>
      </c>
      <c r="K12" s="106" t="s">
        <v>234</v>
      </c>
      <c r="L12" s="106" t="s">
        <v>235</v>
      </c>
    </row>
    <row r="13" spans="1:13" ht="15.75" customHeight="1" x14ac:dyDescent="0.4">
      <c r="B13" s="107">
        <v>2016</v>
      </c>
      <c r="C13" s="108">
        <v>108646</v>
      </c>
      <c r="D13" s="108">
        <v>24270</v>
      </c>
      <c r="E13" s="108">
        <v>33693</v>
      </c>
      <c r="F13" s="108">
        <v>19109</v>
      </c>
      <c r="H13" s="107">
        <v>2016</v>
      </c>
      <c r="I13" s="109">
        <v>0.22339999999999999</v>
      </c>
      <c r="J13" s="109">
        <v>0.31009999999999999</v>
      </c>
      <c r="K13" s="109">
        <v>0.29899999999999999</v>
      </c>
      <c r="L13" s="109">
        <v>0.4037</v>
      </c>
    </row>
    <row r="14" spans="1:13" ht="15.75" customHeight="1" x14ac:dyDescent="0.4">
      <c r="B14" s="110">
        <v>2017</v>
      </c>
      <c r="C14" s="111">
        <v>117966</v>
      </c>
      <c r="D14" s="111">
        <v>26289</v>
      </c>
      <c r="E14" s="111">
        <v>36464</v>
      </c>
      <c r="F14" s="111">
        <v>25223</v>
      </c>
      <c r="H14" s="110">
        <v>2017</v>
      </c>
      <c r="I14" s="112">
        <v>0.2228</v>
      </c>
      <c r="J14" s="112">
        <v>0.30909999999999999</v>
      </c>
      <c r="K14" s="112">
        <v>0.25679999999999997</v>
      </c>
      <c r="L14" s="112">
        <v>0.35060000000000002</v>
      </c>
    </row>
    <row r="15" spans="1:13" ht="15.75" customHeight="1" x14ac:dyDescent="0.4">
      <c r="B15" s="107">
        <v>2018</v>
      </c>
      <c r="C15" s="108">
        <v>123104</v>
      </c>
      <c r="D15" s="108">
        <v>25826</v>
      </c>
      <c r="E15" s="108">
        <v>36104</v>
      </c>
      <c r="F15" s="108">
        <v>25067</v>
      </c>
      <c r="H15" s="107">
        <v>2018</v>
      </c>
      <c r="I15" s="109">
        <v>0.20979999999999999</v>
      </c>
      <c r="J15" s="109">
        <v>0.29330000000000001</v>
      </c>
      <c r="K15" s="109">
        <v>0.26119999999999999</v>
      </c>
      <c r="L15" s="109">
        <v>0.35730000000000001</v>
      </c>
    </row>
    <row r="16" spans="1:13" ht="15.75" customHeight="1" x14ac:dyDescent="0.4">
      <c r="B16" s="110">
        <v>2019</v>
      </c>
      <c r="C16" s="111">
        <v>146463</v>
      </c>
      <c r="D16" s="111">
        <v>31472</v>
      </c>
      <c r="E16" s="111">
        <v>43727</v>
      </c>
      <c r="F16" s="111">
        <v>28593</v>
      </c>
      <c r="H16" s="110">
        <v>2019</v>
      </c>
      <c r="I16" s="112">
        <v>0.21490000000000001</v>
      </c>
      <c r="J16" s="112">
        <v>0.29859999999999998</v>
      </c>
      <c r="K16" s="112">
        <v>0.30470000000000003</v>
      </c>
      <c r="L16" s="112">
        <v>0.41839999999999999</v>
      </c>
    </row>
    <row r="17" spans="2:12" ht="15.75" customHeight="1" x14ac:dyDescent="0.4">
      <c r="B17" s="107">
        <v>2020</v>
      </c>
      <c r="C17" s="108">
        <v>156949</v>
      </c>
      <c r="D17" s="108">
        <v>32340</v>
      </c>
      <c r="E17" s="108">
        <v>46594</v>
      </c>
      <c r="F17" s="108">
        <v>32369</v>
      </c>
      <c r="H17" s="107">
        <v>2020</v>
      </c>
      <c r="I17" s="109">
        <v>0.20610000000000001</v>
      </c>
      <c r="J17" s="109">
        <v>0.2969</v>
      </c>
      <c r="K17" s="109">
        <v>0.33110000000000001</v>
      </c>
      <c r="L17" s="109">
        <v>0.41799999999999998</v>
      </c>
    </row>
    <row r="18" spans="2:12" ht="15.75" customHeight="1" x14ac:dyDescent="0.4">
      <c r="B18" s="110">
        <v>2021</v>
      </c>
      <c r="C18" s="111">
        <v>164177</v>
      </c>
      <c r="D18" s="111">
        <v>32430</v>
      </c>
      <c r="E18" s="111">
        <v>48330</v>
      </c>
      <c r="F18" s="111">
        <v>38802</v>
      </c>
      <c r="H18" s="110">
        <v>2021</v>
      </c>
      <c r="I18" s="112">
        <v>0.19750000000000001</v>
      </c>
      <c r="J18" s="112">
        <v>0.2944</v>
      </c>
      <c r="K18" s="112">
        <v>0.35460000000000003</v>
      </c>
      <c r="L18" s="112">
        <v>0.45079999999999998</v>
      </c>
    </row>
    <row r="19" spans="2:12" ht="15.75" customHeight="1" x14ac:dyDescent="0.4">
      <c r="B19" s="107">
        <v>2022</v>
      </c>
      <c r="C19" s="108">
        <v>191754</v>
      </c>
      <c r="D19" s="108">
        <v>38327</v>
      </c>
      <c r="E19" s="108">
        <v>56953</v>
      </c>
      <c r="F19" s="108">
        <v>39949</v>
      </c>
      <c r="H19" s="107">
        <v>2022</v>
      </c>
      <c r="I19" s="109">
        <v>0.19989999999999999</v>
      </c>
      <c r="J19" s="109">
        <v>0.29699999999999999</v>
      </c>
      <c r="K19" s="109">
        <v>0.38629999999999998</v>
      </c>
      <c r="L19" s="109">
        <v>0.49969999999999998</v>
      </c>
    </row>
    <row r="20" spans="2:12" ht="15.75" customHeight="1" x14ac:dyDescent="0.4">
      <c r="B20" s="110">
        <v>2023</v>
      </c>
      <c r="C20" s="111">
        <v>225458</v>
      </c>
      <c r="D20" s="111">
        <v>42147</v>
      </c>
      <c r="E20" s="111">
        <v>62552</v>
      </c>
      <c r="F20" s="111">
        <v>41965</v>
      </c>
      <c r="H20" s="110">
        <v>2023</v>
      </c>
      <c r="I20" s="112">
        <v>0.18690000000000001</v>
      </c>
      <c r="J20" s="112">
        <v>0.27739999999999998</v>
      </c>
      <c r="K20" s="112">
        <v>0.42970000000000003</v>
      </c>
      <c r="L20" s="112">
        <v>0.55279999999999996</v>
      </c>
    </row>
    <row r="21" spans="2:12" ht="15.75" customHeight="1" x14ac:dyDescent="0.4">
      <c r="B21" s="107">
        <v>2024</v>
      </c>
      <c r="C21" s="108">
        <v>240893</v>
      </c>
      <c r="D21" s="108">
        <v>45908</v>
      </c>
      <c r="E21" s="108">
        <v>67569</v>
      </c>
      <c r="F21" s="108">
        <v>44338</v>
      </c>
      <c r="H21" s="107">
        <v>2024</v>
      </c>
      <c r="I21" s="109">
        <v>0.19059999999999999</v>
      </c>
      <c r="J21" s="109">
        <v>0.28050000000000003</v>
      </c>
      <c r="K21" s="109">
        <v>0.47120000000000001</v>
      </c>
      <c r="L21" s="109">
        <v>0.60209999999999997</v>
      </c>
    </row>
    <row r="22" spans="2:12" ht="15.75" customHeight="1" x14ac:dyDescent="0.4">
      <c r="B22" s="110">
        <v>2025</v>
      </c>
      <c r="C22" s="111">
        <v>255324</v>
      </c>
      <c r="D22" s="111">
        <v>48553</v>
      </c>
      <c r="E22" s="111">
        <v>71125</v>
      </c>
      <c r="F22" s="111">
        <v>48908</v>
      </c>
      <c r="H22" s="110">
        <v>2025</v>
      </c>
      <c r="I22" s="112">
        <v>0.19009999999999999</v>
      </c>
      <c r="J22" s="112">
        <v>0.27860000000000001</v>
      </c>
      <c r="K22" s="112">
        <v>0.47320000000000001</v>
      </c>
      <c r="L22" s="112">
        <v>0.59689999999999999</v>
      </c>
    </row>
    <row r="23" spans="2:12" ht="18" customHeight="1" x14ac:dyDescent="0.4">
      <c r="B23" s="113" t="s">
        <v>236</v>
      </c>
      <c r="C23" s="114" t="s">
        <v>237</v>
      </c>
      <c r="D23" s="114" t="s">
        <v>238</v>
      </c>
      <c r="E23" s="114" t="s">
        <v>239</v>
      </c>
      <c r="F23" s="114" t="s">
        <v>240</v>
      </c>
      <c r="H23" s="113" t="s">
        <v>241</v>
      </c>
      <c r="I23" s="114" t="s">
        <v>242</v>
      </c>
      <c r="J23" s="114" t="s">
        <v>243</v>
      </c>
      <c r="K23" s="114" t="s">
        <v>244</v>
      </c>
      <c r="L23" s="114" t="s">
        <v>245</v>
      </c>
    </row>
    <row r="24" spans="2:12" ht="7.5" customHeight="1" x14ac:dyDescent="0.4"/>
    <row r="25" spans="2:12" ht="19.5" customHeight="1" x14ac:dyDescent="0.4">
      <c r="B25" s="118" t="s">
        <v>246</v>
      </c>
      <c r="C25" s="118"/>
      <c r="D25" s="118"/>
      <c r="E25" s="118"/>
      <c r="F25" s="118"/>
      <c r="H25" s="118" t="s">
        <v>247</v>
      </c>
      <c r="I25" s="118"/>
      <c r="J25" s="118"/>
      <c r="K25" s="118"/>
      <c r="L25" s="118"/>
    </row>
    <row r="26" spans="2:12" ht="18" customHeight="1" x14ac:dyDescent="0.4"/>
    <row r="27" spans="2:12" ht="18" customHeight="1" x14ac:dyDescent="0.4"/>
    <row r="28" spans="2:12" ht="18" customHeight="1" x14ac:dyDescent="0.4"/>
    <row r="29" spans="2:12" ht="18" customHeight="1" x14ac:dyDescent="0.4"/>
    <row r="30" spans="2:12" ht="18" customHeight="1" x14ac:dyDescent="0.4"/>
    <row r="31" spans="2:12" ht="18" customHeight="1" x14ac:dyDescent="0.4"/>
    <row r="32" spans="2:12" ht="7.5" customHeight="1" x14ac:dyDescent="0.4"/>
    <row r="33" spans="2:12" ht="18" customHeight="1" x14ac:dyDescent="0.4"/>
    <row r="34" spans="2:12" ht="18" customHeight="1" x14ac:dyDescent="0.4"/>
    <row r="35" spans="2:12" ht="18" customHeight="1" x14ac:dyDescent="0.4"/>
    <row r="36" spans="2:12" ht="18" customHeight="1" x14ac:dyDescent="0.4"/>
    <row r="37" spans="2:12" ht="18" customHeight="1" x14ac:dyDescent="0.4"/>
    <row r="38" spans="2:12" ht="18" customHeight="1" x14ac:dyDescent="0.4"/>
    <row r="39" spans="2:12" ht="19.5" customHeight="1" x14ac:dyDescent="0.4">
      <c r="B39" s="118" t="s">
        <v>248</v>
      </c>
      <c r="C39" s="118"/>
      <c r="D39" s="118"/>
      <c r="E39" s="118"/>
      <c r="F39" s="118"/>
      <c r="H39" s="118" t="s">
        <v>249</v>
      </c>
      <c r="I39" s="118"/>
      <c r="J39" s="118"/>
      <c r="K39" s="118"/>
      <c r="L39" s="118"/>
    </row>
    <row r="40" spans="2:12" ht="18" customHeight="1" x14ac:dyDescent="0.4"/>
    <row r="41" spans="2:12" ht="18" customHeight="1" x14ac:dyDescent="0.4"/>
    <row r="42" spans="2:12" ht="18" customHeight="1" x14ac:dyDescent="0.4"/>
    <row r="43" spans="2:12" ht="18" customHeight="1" x14ac:dyDescent="0.4"/>
    <row r="44" spans="2:12" ht="18" customHeight="1" x14ac:dyDescent="0.4"/>
    <row r="45" spans="2:12" ht="18" customHeight="1" x14ac:dyDescent="0.4"/>
    <row r="46" spans="2:12" ht="7.5" customHeight="1" x14ac:dyDescent="0.4"/>
    <row r="47" spans="2:12" ht="18" customHeight="1" x14ac:dyDescent="0.4"/>
    <row r="48" spans="2:12" ht="18" customHeight="1" x14ac:dyDescent="0.4"/>
    <row r="49" spans="2:12" ht="18" customHeight="1" x14ac:dyDescent="0.4"/>
    <row r="50" spans="2:12" ht="18" customHeight="1" x14ac:dyDescent="0.4"/>
    <row r="51" spans="2:12" ht="18" customHeight="1" x14ac:dyDescent="0.4"/>
    <row r="52" spans="2:12" ht="18" customHeight="1" x14ac:dyDescent="0.4"/>
    <row r="53" spans="2:12" ht="19.5" customHeight="1" x14ac:dyDescent="0.4">
      <c r="B53" s="118" t="s">
        <v>250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</row>
    <row r="54" spans="2:12" ht="18" customHeight="1" x14ac:dyDescent="0.4">
      <c r="B54" s="115" t="s">
        <v>251</v>
      </c>
      <c r="C54" s="119" t="s">
        <v>252</v>
      </c>
      <c r="D54" s="119"/>
      <c r="E54" s="119"/>
      <c r="F54" s="119"/>
      <c r="G54" s="119"/>
      <c r="H54" s="119"/>
      <c r="I54" s="119"/>
      <c r="J54" s="119"/>
      <c r="K54" s="119"/>
      <c r="L54" s="119"/>
    </row>
    <row r="55" spans="2:12" ht="18" customHeight="1" x14ac:dyDescent="0.4">
      <c r="B55" s="116" t="s">
        <v>253</v>
      </c>
      <c r="C55" s="120" t="s">
        <v>254</v>
      </c>
      <c r="D55" s="120"/>
      <c r="E55" s="120"/>
      <c r="F55" s="120"/>
      <c r="G55" s="120"/>
      <c r="H55" s="120"/>
      <c r="I55" s="120"/>
      <c r="J55" s="120"/>
      <c r="K55" s="120"/>
      <c r="L55" s="120"/>
    </row>
    <row r="56" spans="2:12" ht="18" customHeight="1" x14ac:dyDescent="0.4">
      <c r="B56" s="115" t="s">
        <v>255</v>
      </c>
      <c r="C56" s="119" t="s">
        <v>256</v>
      </c>
      <c r="D56" s="119"/>
      <c r="E56" s="119"/>
      <c r="F56" s="119"/>
      <c r="G56" s="119"/>
      <c r="H56" s="119"/>
      <c r="I56" s="119"/>
      <c r="J56" s="119"/>
      <c r="K56" s="119"/>
      <c r="L56" s="119"/>
    </row>
    <row r="57" spans="2:12" ht="18" customHeight="1" x14ac:dyDescent="0.4"/>
    <row r="58" spans="2:12" ht="18" customHeight="1" x14ac:dyDescent="0.4"/>
    <row r="59" spans="2:12" ht="18" customHeight="1" x14ac:dyDescent="0.4"/>
    <row r="60" spans="2:12" ht="18" customHeight="1" x14ac:dyDescent="0.4"/>
    <row r="61" spans="2:12" ht="18" customHeight="1" x14ac:dyDescent="0.4"/>
    <row r="62" spans="2:12" ht="18" customHeight="1" x14ac:dyDescent="0.4"/>
    <row r="63" spans="2:12" ht="18" customHeight="1" x14ac:dyDescent="0.4"/>
    <row r="64" spans="2:12" ht="18" customHeight="1" x14ac:dyDescent="0.4"/>
    <row r="65" spans="1:12" ht="18" customHeight="1" x14ac:dyDescent="0.4"/>
    <row r="66" spans="1:12" ht="18" customHeight="1" x14ac:dyDescent="0.4"/>
    <row r="67" spans="1:12" ht="19.5" customHeight="1" x14ac:dyDescent="0.4"/>
    <row r="68" spans="1:12" ht="19.5" customHeight="1" x14ac:dyDescent="0.4"/>
    <row r="69" spans="1:12" ht="19.5" customHeight="1" x14ac:dyDescent="0.4"/>
    <row r="70" spans="1:12" ht="19.5" hidden="1" customHeight="1" x14ac:dyDescent="0.4">
      <c r="A70" t="s">
        <v>153</v>
      </c>
      <c r="B70" s="116" t="s">
        <v>257</v>
      </c>
      <c r="C70" s="120" t="s">
        <v>258</v>
      </c>
      <c r="D70" s="120"/>
      <c r="E70" s="120"/>
      <c r="F70" s="120"/>
      <c r="G70" s="120"/>
      <c r="H70" s="120"/>
      <c r="I70" s="120"/>
      <c r="J70" s="120"/>
      <c r="K70" s="120"/>
      <c r="L70" s="120"/>
    </row>
    <row r="71" spans="1:12" ht="19.5" hidden="1" customHeight="1" x14ac:dyDescent="0.4">
      <c r="A71">
        <v>2016</v>
      </c>
      <c r="B71" s="115" t="s">
        <v>259</v>
      </c>
      <c r="C71" s="119" t="s">
        <v>260</v>
      </c>
      <c r="D71" s="119"/>
      <c r="E71" s="119"/>
      <c r="F71" s="119"/>
      <c r="G71" s="119"/>
      <c r="H71" s="119"/>
      <c r="I71" s="119"/>
      <c r="J71" s="119"/>
      <c r="K71" s="119"/>
      <c r="L71" s="119"/>
    </row>
    <row r="72" spans="1:12" ht="19.5" hidden="1" customHeight="1" x14ac:dyDescent="0.4">
      <c r="A72">
        <v>2017</v>
      </c>
      <c r="B72">
        <v>123104</v>
      </c>
      <c r="C72">
        <v>25826</v>
      </c>
      <c r="D72">
        <v>36104</v>
      </c>
      <c r="E72">
        <v>25067</v>
      </c>
      <c r="F72">
        <v>26.12</v>
      </c>
      <c r="G72">
        <v>35.729999999999997</v>
      </c>
      <c r="H72">
        <v>20.98</v>
      </c>
      <c r="I72">
        <v>29.33</v>
      </c>
      <c r="J72">
        <v>1424.58</v>
      </c>
    </row>
    <row r="73" spans="1:12" ht="18" hidden="1" customHeight="1" x14ac:dyDescent="0.4">
      <c r="A73">
        <v>2018</v>
      </c>
      <c r="B73" s="117" t="s">
        <v>261</v>
      </c>
      <c r="C73" s="117"/>
      <c r="D73" s="117"/>
      <c r="E73" s="117"/>
      <c r="F73" s="117"/>
      <c r="G73" s="117"/>
      <c r="H73" s="117"/>
      <c r="I73" s="117"/>
      <c r="J73" s="117"/>
      <c r="K73" s="117"/>
      <c r="L73" s="117"/>
    </row>
    <row r="74" spans="1:12" ht="15.75" hidden="1" customHeight="1" x14ac:dyDescent="0.4">
      <c r="A74">
        <v>2019</v>
      </c>
      <c r="B74">
        <v>156949</v>
      </c>
      <c r="C74">
        <v>32340</v>
      </c>
      <c r="D74">
        <v>46594</v>
      </c>
      <c r="E74">
        <v>32369</v>
      </c>
      <c r="F74">
        <v>33.11</v>
      </c>
      <c r="G74">
        <v>41.8</v>
      </c>
      <c r="H74">
        <v>20.61</v>
      </c>
      <c r="I74">
        <v>29.69</v>
      </c>
      <c r="J74">
        <v>1826.1</v>
      </c>
    </row>
    <row r="75" spans="1:12" ht="18" hidden="1" customHeight="1" x14ac:dyDescent="0.4">
      <c r="A75">
        <v>2020</v>
      </c>
      <c r="B75">
        <v>164177</v>
      </c>
      <c r="C75">
        <v>32430</v>
      </c>
      <c r="D75">
        <v>48330</v>
      </c>
      <c r="E75">
        <v>38802</v>
      </c>
      <c r="F75">
        <v>35.46</v>
      </c>
      <c r="G75">
        <v>45.08</v>
      </c>
      <c r="H75">
        <v>19.75</v>
      </c>
      <c r="I75">
        <v>29.44</v>
      </c>
      <c r="J75">
        <v>3177.85</v>
      </c>
    </row>
    <row r="76" spans="1:12" ht="18" hidden="1" customHeight="1" x14ac:dyDescent="0.4">
      <c r="A76">
        <v>2021</v>
      </c>
      <c r="B76">
        <v>191754</v>
      </c>
      <c r="C76">
        <v>38327</v>
      </c>
      <c r="D76">
        <v>56953</v>
      </c>
      <c r="E76">
        <v>39949</v>
      </c>
      <c r="F76">
        <v>38.630000000000003</v>
      </c>
      <c r="G76">
        <v>49.97</v>
      </c>
      <c r="H76">
        <v>19.989999999999998</v>
      </c>
      <c r="I76">
        <v>29.7</v>
      </c>
      <c r="J76">
        <v>3739.95</v>
      </c>
    </row>
    <row r="77" spans="1:12" ht="18" hidden="1" customHeight="1" x14ac:dyDescent="0.4">
      <c r="A77">
        <v>2022</v>
      </c>
      <c r="B77">
        <v>225458</v>
      </c>
      <c r="C77">
        <v>42147</v>
      </c>
      <c r="D77">
        <v>62552</v>
      </c>
      <c r="E77">
        <v>41965</v>
      </c>
      <c r="F77">
        <v>42.97</v>
      </c>
      <c r="G77">
        <v>55.28</v>
      </c>
      <c r="H77">
        <v>18.690000000000001</v>
      </c>
      <c r="I77">
        <v>27.74</v>
      </c>
      <c r="J77">
        <v>3205.9</v>
      </c>
    </row>
    <row r="78" spans="1:12" ht="18" hidden="1" customHeight="1" x14ac:dyDescent="0.4">
      <c r="A78">
        <v>2023</v>
      </c>
      <c r="B78">
        <v>240893</v>
      </c>
      <c r="C78">
        <v>45908</v>
      </c>
      <c r="D78">
        <v>67569</v>
      </c>
      <c r="E78">
        <v>44338</v>
      </c>
      <c r="F78">
        <v>47.12</v>
      </c>
      <c r="G78">
        <v>60.21</v>
      </c>
      <c r="H78">
        <v>19.059999999999999</v>
      </c>
      <c r="I78">
        <v>28.05</v>
      </c>
      <c r="J78">
        <v>3876.3</v>
      </c>
    </row>
    <row r="79" spans="1:12" ht="18" hidden="1" customHeight="1" x14ac:dyDescent="0.4">
      <c r="A79">
        <v>2024</v>
      </c>
      <c r="B79">
        <v>255324</v>
      </c>
      <c r="C79">
        <v>48553</v>
      </c>
      <c r="D79">
        <v>71125</v>
      </c>
      <c r="E79">
        <v>48908</v>
      </c>
      <c r="F79">
        <v>47.32</v>
      </c>
      <c r="G79">
        <v>59.69</v>
      </c>
      <c r="H79">
        <v>19.010000000000002</v>
      </c>
      <c r="I79">
        <v>27.86</v>
      </c>
      <c r="J79">
        <v>3606.15</v>
      </c>
    </row>
    <row r="80" spans="1:12" hidden="1" x14ac:dyDescent="0.4">
      <c r="A80">
        <v>2025</v>
      </c>
    </row>
    <row r="81" hidden="1" x14ac:dyDescent="0.4"/>
  </sheetData>
  <mergeCells count="31">
    <mergeCell ref="A1:M1"/>
    <mergeCell ref="A2:M3"/>
    <mergeCell ref="A4:M4"/>
    <mergeCell ref="B6:C6"/>
    <mergeCell ref="D6:E6"/>
    <mergeCell ref="F6:G6"/>
    <mergeCell ref="H6:I6"/>
    <mergeCell ref="J6:K6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11:F11"/>
    <mergeCell ref="H11:L11"/>
    <mergeCell ref="B25:F25"/>
    <mergeCell ref="H25:L25"/>
    <mergeCell ref="B39:F39"/>
    <mergeCell ref="H39:L39"/>
    <mergeCell ref="B73:L73"/>
    <mergeCell ref="B53:L53"/>
    <mergeCell ref="C54:L54"/>
    <mergeCell ref="C55:L55"/>
    <mergeCell ref="C56:L56"/>
    <mergeCell ref="C70:L70"/>
    <mergeCell ref="C71:L7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7DC7-9E74-4A03-A8F1-322139097ABE}">
  <dimension ref="A2:F12"/>
  <sheetViews>
    <sheetView workbookViewId="0">
      <selection activeCell="E13" sqref="E13"/>
    </sheetView>
  </sheetViews>
  <sheetFormatPr defaultRowHeight="14.6" x14ac:dyDescent="0.4"/>
  <cols>
    <col min="1" max="1" width="1.84375" customWidth="1"/>
    <col min="2" max="2" width="22" bestFit="1" customWidth="1"/>
    <col min="3" max="4" width="10.61328125" bestFit="1" customWidth="1"/>
    <col min="5" max="5" width="10" bestFit="1" customWidth="1"/>
    <col min="6" max="6" width="17.07421875" bestFit="1" customWidth="1"/>
  </cols>
  <sheetData>
    <row r="2" spans="1:6" x14ac:dyDescent="0.4">
      <c r="A2" t="s">
        <v>58</v>
      </c>
      <c r="B2" s="97" t="s">
        <v>210</v>
      </c>
      <c r="C2" s="98" t="s">
        <v>211</v>
      </c>
      <c r="D2" s="98" t="s">
        <v>212</v>
      </c>
      <c r="E2" s="98" t="s">
        <v>209</v>
      </c>
      <c r="F2" s="98" t="s">
        <v>207</v>
      </c>
    </row>
    <row r="3" spans="1:6" x14ac:dyDescent="0.4">
      <c r="B3" s="96" t="s">
        <v>213</v>
      </c>
      <c r="C3" s="99">
        <f>HistoricalFS!L6</f>
        <v>255324</v>
      </c>
      <c r="D3" s="100">
        <v>250000</v>
      </c>
      <c r="E3" s="101">
        <f>(C3-D3)/D3</f>
        <v>2.1295999999999999E-2</v>
      </c>
      <c r="F3" s="99" t="str">
        <f>IF(E3&gt;=0.02,"✅ On Target",IF(E3&gt;=-0.02,"🟡 Near Target","🔴 Off Target"))</f>
        <v>✅ On Target</v>
      </c>
    </row>
    <row r="4" spans="1:6" x14ac:dyDescent="0.4">
      <c r="B4" s="96" t="s">
        <v>214</v>
      </c>
      <c r="C4" s="99">
        <f>HistoricalFS!L33</f>
        <v>44835</v>
      </c>
      <c r="D4" s="100">
        <v>46000</v>
      </c>
      <c r="E4" s="101">
        <f t="shared" ref="E4:E10" si="0">(C4-D4)/D4</f>
        <v>-2.5326086956521738E-2</v>
      </c>
      <c r="F4" s="99" t="str">
        <f t="shared" ref="F4:F10" si="1">IF(E4&gt;=0.02,"✅ On Target",IF(E4&gt;=-0.02,"🟡 Near Target","🔴 Off Target"))</f>
        <v>🔴 Off Target</v>
      </c>
    </row>
    <row r="5" spans="1:6" x14ac:dyDescent="0.4">
      <c r="B5" s="96" t="s">
        <v>215</v>
      </c>
      <c r="C5" s="99">
        <f>HistoricalFS!L18</f>
        <v>67407</v>
      </c>
      <c r="D5" s="100">
        <v>69000</v>
      </c>
      <c r="E5" s="101">
        <f t="shared" si="0"/>
        <v>-2.308695652173913E-2</v>
      </c>
      <c r="F5" s="99" t="str">
        <f t="shared" si="1"/>
        <v>🔴 Off Target</v>
      </c>
    </row>
    <row r="6" spans="1:6" x14ac:dyDescent="0.4">
      <c r="B6" s="96" t="s">
        <v>216</v>
      </c>
      <c r="C6" s="99">
        <f>HistoricalFS!L78</f>
        <v>47052</v>
      </c>
      <c r="D6" s="100">
        <v>46000</v>
      </c>
      <c r="E6" s="101">
        <f t="shared" si="0"/>
        <v>2.2869565217391304E-2</v>
      </c>
      <c r="F6" s="99" t="str">
        <f t="shared" si="1"/>
        <v>✅ On Target</v>
      </c>
    </row>
    <row r="7" spans="1:6" x14ac:dyDescent="0.4">
      <c r="B7" s="96" t="s">
        <v>217</v>
      </c>
      <c r="C7" s="102">
        <f>HistoricalFS!L34</f>
        <v>0.17560041359214176</v>
      </c>
      <c r="D7" s="103">
        <v>0.185</v>
      </c>
      <c r="E7" s="101">
        <f t="shared" si="0"/>
        <v>-5.0808575177612079E-2</v>
      </c>
      <c r="F7" s="99" t="str">
        <f t="shared" si="1"/>
        <v>🔴 Off Target</v>
      </c>
    </row>
    <row r="8" spans="1:6" x14ac:dyDescent="0.4">
      <c r="B8" s="96" t="s">
        <v>208</v>
      </c>
      <c r="C8" s="102">
        <f>HistoricalFS!L19</f>
        <v>0.26400573389105608</v>
      </c>
      <c r="D8" s="103">
        <v>0.28499999999999998</v>
      </c>
      <c r="E8" s="101">
        <f t="shared" si="0"/>
        <v>-7.3664091610329455E-2</v>
      </c>
      <c r="F8" s="99" t="str">
        <f t="shared" si="1"/>
        <v>🔴 Off Target</v>
      </c>
    </row>
    <row r="9" spans="1:6" x14ac:dyDescent="0.4">
      <c r="B9" s="96" t="s">
        <v>218</v>
      </c>
      <c r="C9" s="102">
        <f>'Ratio Analysis'!L23</f>
        <v>0.47316264933091307</v>
      </c>
      <c r="D9" s="103">
        <v>0.44</v>
      </c>
      <c r="E9" s="101">
        <f t="shared" si="0"/>
        <v>7.5369657570256959E-2</v>
      </c>
      <c r="F9" s="99" t="str">
        <f t="shared" si="1"/>
        <v>✅ On Target</v>
      </c>
    </row>
    <row r="10" spans="1:6" x14ac:dyDescent="0.4">
      <c r="B10" s="96" t="s">
        <v>219</v>
      </c>
      <c r="C10" s="102">
        <f>'Ratio Analysis'!L21</f>
        <v>0.59689096286054466</v>
      </c>
      <c r="D10" s="103">
        <v>0.56000000000000005</v>
      </c>
      <c r="E10" s="101">
        <f t="shared" si="0"/>
        <v>6.587671939382965E-2</v>
      </c>
      <c r="F10" s="99" t="str">
        <f t="shared" si="1"/>
        <v>✅ On Target</v>
      </c>
    </row>
    <row r="12" spans="1:6" x14ac:dyDescent="0.4">
      <c r="E12" t="s">
        <v>220</v>
      </c>
      <c r="F12" t="str">
        <f>COUNTIF(F3:F10,"✅ On Target") &amp; " / 8 KPIs On Target"</f>
        <v>4 / 8 KPIs On Target</v>
      </c>
    </row>
  </sheetData>
  <conditionalFormatting sqref="E3:E10">
    <cfRule type="cellIs" dxfId="2" priority="1" operator="lessThan">
      <formula>0.02</formula>
    </cfRule>
    <cfRule type="cellIs" dxfId="1" priority="2" operator="greaterThanOrEqual">
      <formula>0.02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6CB6-B23D-405E-BEAA-657392C14814}">
  <dimension ref="A2:P103"/>
  <sheetViews>
    <sheetView showGridLines="0" workbookViewId="0">
      <pane ySplit="3" topLeftCell="A67" activePane="bottomLeft" state="frozen"/>
      <selection pane="bottomLeft" activeCell="M79" sqref="M79"/>
    </sheetView>
  </sheetViews>
  <sheetFormatPr defaultRowHeight="14.6" x14ac:dyDescent="0.4"/>
  <cols>
    <col min="1" max="1" width="1.84375" customWidth="1"/>
    <col min="2" max="2" width="26.3046875" bestFit="1" customWidth="1"/>
    <col min="3" max="12" width="12.69140625" customWidth="1"/>
    <col min="13" max="13" width="10.69140625" customWidth="1"/>
  </cols>
  <sheetData>
    <row r="2" spans="1:15" x14ac:dyDescent="0.4">
      <c r="B2" s="128" t="str">
        <f>"Historical Financial Statement-"&amp;'Data Sheet'!B1</f>
        <v>Historical Financial Statement-TATA CONSULTANCY SERVICES LTD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5" x14ac:dyDescent="0.4">
      <c r="B3" s="27" t="s">
        <v>56</v>
      </c>
      <c r="C3" s="11">
        <f>'Data Sheet'!B16</f>
        <v>42460</v>
      </c>
      <c r="D3" s="11">
        <f>'Data Sheet'!C16</f>
        <v>42825</v>
      </c>
      <c r="E3" s="11">
        <f>'Data Sheet'!D16</f>
        <v>43190</v>
      </c>
      <c r="F3" s="11">
        <f>'Data Sheet'!E16</f>
        <v>43555</v>
      </c>
      <c r="G3" s="11">
        <f>'Data Sheet'!F16</f>
        <v>43921</v>
      </c>
      <c r="H3" s="11">
        <f>'Data Sheet'!G16</f>
        <v>44286</v>
      </c>
      <c r="I3" s="11">
        <f>'Data Sheet'!H16</f>
        <v>44651</v>
      </c>
      <c r="J3" s="11">
        <f>'Data Sheet'!I16</f>
        <v>45016</v>
      </c>
      <c r="K3" s="11">
        <f>'Data Sheet'!J16</f>
        <v>45382</v>
      </c>
      <c r="L3" s="11">
        <f>'Data Sheet'!K16</f>
        <v>45747</v>
      </c>
      <c r="M3" s="11" t="s">
        <v>57</v>
      </c>
    </row>
    <row r="4" spans="1:15" x14ac:dyDescent="0.4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5" x14ac:dyDescent="0.4">
      <c r="A5" t="s">
        <v>58</v>
      </c>
      <c r="B5" s="22" t="s">
        <v>59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O5" s="2"/>
    </row>
    <row r="6" spans="1:15" x14ac:dyDescent="0.4">
      <c r="B6" t="s">
        <v>1</v>
      </c>
      <c r="C6" s="12">
        <f>IFERROR('Data Sheet'!B17,0)</f>
        <v>108646</v>
      </c>
      <c r="D6" s="12">
        <f>IFERROR('Data Sheet'!C17,0)</f>
        <v>117966</v>
      </c>
      <c r="E6" s="12">
        <f>IFERROR('Data Sheet'!D17,0)</f>
        <v>123104</v>
      </c>
      <c r="F6" s="12">
        <f>IFERROR('Data Sheet'!E17,0)</f>
        <v>146463</v>
      </c>
      <c r="G6" s="12">
        <f>IFERROR('Data Sheet'!F17,0)</f>
        <v>156949</v>
      </c>
      <c r="H6" s="12">
        <f>IFERROR('Data Sheet'!G17,0)</f>
        <v>164177</v>
      </c>
      <c r="I6" s="12">
        <f>IFERROR('Data Sheet'!H17,0)</f>
        <v>191754</v>
      </c>
      <c r="J6" s="12">
        <f>IFERROR('Data Sheet'!I17,0)</f>
        <v>225458</v>
      </c>
      <c r="K6" s="12">
        <f>IFERROR('Data Sheet'!J17,0)</f>
        <v>240893</v>
      </c>
      <c r="L6" s="12">
        <f>IFERROR('Data Sheet'!K17,0)</f>
        <v>255324</v>
      </c>
      <c r="M6" s="12">
        <f>IFERROR(SUM('Data Sheet'!H41:K41),0)</f>
        <v>260802</v>
      </c>
    </row>
    <row r="7" spans="1:15" x14ac:dyDescent="0.4">
      <c r="B7" s="15" t="s">
        <v>60</v>
      </c>
      <c r="C7" s="16" t="s">
        <v>61</v>
      </c>
      <c r="D7" s="17">
        <f t="shared" ref="D7:M7" si="0">D6/C6-1</f>
        <v>8.578318575925481E-2</v>
      </c>
      <c r="E7" s="17">
        <f t="shared" si="0"/>
        <v>4.3554922604818413E-2</v>
      </c>
      <c r="F7" s="17">
        <f t="shared" si="0"/>
        <v>0.18975012997140639</v>
      </c>
      <c r="G7" s="17">
        <f t="shared" si="0"/>
        <v>7.1594873790650215E-2</v>
      </c>
      <c r="H7" s="17">
        <f t="shared" si="0"/>
        <v>4.6053176509566862E-2</v>
      </c>
      <c r="I7" s="17">
        <f t="shared" si="0"/>
        <v>0.1679711530847805</v>
      </c>
      <c r="J7" s="17">
        <f t="shared" si="0"/>
        <v>0.17576686796624852</v>
      </c>
      <c r="K7" s="17">
        <f t="shared" si="0"/>
        <v>6.8460644554639849E-2</v>
      </c>
      <c r="L7" s="17">
        <f t="shared" si="0"/>
        <v>5.9906265437351891E-2</v>
      </c>
      <c r="M7" s="17">
        <f t="shared" si="0"/>
        <v>2.1455092353245275E-2</v>
      </c>
    </row>
    <row r="8" spans="1:15" x14ac:dyDescent="0.4"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5" ht="14.15" customHeight="1" x14ac:dyDescent="0.4">
      <c r="B9" t="s">
        <v>62</v>
      </c>
      <c r="C9" s="12">
        <f>IFERROR(SUM('Data Sheet'!B18,'Data Sheet'!B20:B22)-1*'Data Sheet'!B19,0)</f>
        <v>57919</v>
      </c>
      <c r="D9" s="12">
        <f>IFERROR(SUM('Data Sheet'!C18,'Data Sheet'!C20:C22)-1*'Data Sheet'!C19,0)</f>
        <v>64429</v>
      </c>
      <c r="E9" s="12">
        <f>IFERROR(SUM('Data Sheet'!D18,'Data Sheet'!D20:D22)-1*'Data Sheet'!D19,0)</f>
        <v>69096</v>
      </c>
      <c r="F9" s="12">
        <f>IFERROR(SUM('Data Sheet'!E18,'Data Sheet'!E20:E22)-1*'Data Sheet'!E19,0)</f>
        <v>80516</v>
      </c>
      <c r="G9" s="12">
        <f>IFERROR(SUM('Data Sheet'!F18,'Data Sheet'!F20:F22)-1*'Data Sheet'!F19,0)</f>
        <v>87857</v>
      </c>
      <c r="H9" s="12">
        <f>IFERROR(SUM('Data Sheet'!G18,'Data Sheet'!G20:G22)-1*'Data Sheet'!G19,0)</f>
        <v>93276</v>
      </c>
      <c r="I9" s="12">
        <f>IFERROR(SUM('Data Sheet'!H18,'Data Sheet'!H20:H22)-1*'Data Sheet'!H19,0)</f>
        <v>108717</v>
      </c>
      <c r="J9" s="12">
        <f>IFERROR(SUM('Data Sheet'!I18,'Data Sheet'!I20:I22)-1*'Data Sheet'!I19,0)</f>
        <v>129403</v>
      </c>
      <c r="K9" s="12">
        <f>IFERROR(SUM('Data Sheet'!J18,'Data Sheet'!J20:J22)-1*'Data Sheet'!J19,0)</f>
        <v>143833</v>
      </c>
      <c r="L9" s="12">
        <f>IFERROR(SUM('Data Sheet'!K18,'Data Sheet'!K20:K22)-1*'Data Sheet'!K19,0)</f>
        <v>157436</v>
      </c>
      <c r="M9" s="12">
        <f>IFERROR(SUM('Data Sheet'!H42:K42),0)</f>
        <v>190700</v>
      </c>
    </row>
    <row r="10" spans="1:15" x14ac:dyDescent="0.4">
      <c r="B10" s="15" t="s">
        <v>70</v>
      </c>
      <c r="C10" s="17">
        <f t="shared" ref="C10:M10" si="1">C9/C6</f>
        <v>0.53309831931226181</v>
      </c>
      <c r="D10" s="17">
        <f t="shared" si="1"/>
        <v>0.54616584439584293</v>
      </c>
      <c r="E10" s="17">
        <f t="shared" si="1"/>
        <v>0.56128151806602544</v>
      </c>
      <c r="F10" s="17">
        <f t="shared" si="1"/>
        <v>0.5497361108266251</v>
      </c>
      <c r="G10" s="17">
        <f t="shared" si="1"/>
        <v>0.55978056566145695</v>
      </c>
      <c r="H10" s="17">
        <f t="shared" si="1"/>
        <v>0.56814291892286983</v>
      </c>
      <c r="I10" s="17">
        <f t="shared" si="1"/>
        <v>0.56696079351669326</v>
      </c>
      <c r="J10" s="17">
        <f t="shared" si="1"/>
        <v>0.5739561248658287</v>
      </c>
      <c r="K10" s="17">
        <f t="shared" si="1"/>
        <v>0.59708252211562807</v>
      </c>
      <c r="L10" s="17">
        <f t="shared" si="1"/>
        <v>0.61661261769359721</v>
      </c>
      <c r="M10" s="17">
        <f t="shared" si="1"/>
        <v>0.73120604903336628</v>
      </c>
    </row>
    <row r="12" spans="1:15" x14ac:dyDescent="0.4">
      <c r="B12" s="33" t="s">
        <v>63</v>
      </c>
      <c r="C12" s="34">
        <f>C6-C9</f>
        <v>50727</v>
      </c>
      <c r="D12" s="34">
        <f t="shared" ref="D12:M12" si="2">D6-D9</f>
        <v>53537</v>
      </c>
      <c r="E12" s="34">
        <f t="shared" si="2"/>
        <v>54008</v>
      </c>
      <c r="F12" s="34">
        <f t="shared" si="2"/>
        <v>65947</v>
      </c>
      <c r="G12" s="34">
        <f t="shared" si="2"/>
        <v>69092</v>
      </c>
      <c r="H12" s="34">
        <f t="shared" si="2"/>
        <v>70901</v>
      </c>
      <c r="I12" s="34">
        <f t="shared" si="2"/>
        <v>83037</v>
      </c>
      <c r="J12" s="34">
        <f t="shared" si="2"/>
        <v>96055</v>
      </c>
      <c r="K12" s="34">
        <f t="shared" si="2"/>
        <v>97060</v>
      </c>
      <c r="L12" s="34">
        <f t="shared" si="2"/>
        <v>97888</v>
      </c>
      <c r="M12" s="34">
        <f t="shared" si="2"/>
        <v>70102</v>
      </c>
    </row>
    <row r="13" spans="1:15" x14ac:dyDescent="0.4">
      <c r="B13" s="15" t="s">
        <v>71</v>
      </c>
      <c r="C13" s="17">
        <f>C12/C6</f>
        <v>0.46690168068773819</v>
      </c>
      <c r="D13" s="17">
        <f t="shared" ref="D13:M13" si="3">D12/D6</f>
        <v>0.45383415560415713</v>
      </c>
      <c r="E13" s="17">
        <f t="shared" si="3"/>
        <v>0.4387184819339745</v>
      </c>
      <c r="F13" s="17">
        <f t="shared" si="3"/>
        <v>0.45026388917337484</v>
      </c>
      <c r="G13" s="17">
        <f t="shared" si="3"/>
        <v>0.4402194343385431</v>
      </c>
      <c r="H13" s="17">
        <f t="shared" si="3"/>
        <v>0.43185708107713017</v>
      </c>
      <c r="I13" s="17">
        <f t="shared" si="3"/>
        <v>0.43303920648330674</v>
      </c>
      <c r="J13" s="17">
        <f t="shared" si="3"/>
        <v>0.42604387513417136</v>
      </c>
      <c r="K13" s="17">
        <f t="shared" si="3"/>
        <v>0.40291747788437188</v>
      </c>
      <c r="L13" s="17">
        <f t="shared" si="3"/>
        <v>0.38338738230640285</v>
      </c>
      <c r="M13" s="17">
        <f t="shared" si="3"/>
        <v>0.26879395096663367</v>
      </c>
    </row>
    <row r="15" spans="1:15" x14ac:dyDescent="0.4">
      <c r="B15" t="s">
        <v>64</v>
      </c>
      <c r="C15" s="12">
        <f>IFERROR(SUM('Data Sheet'!B23:B24),0)</f>
        <v>20050</v>
      </c>
      <c r="D15" s="12">
        <f>IFERROR(SUM('Data Sheet'!C23:C24),0)</f>
        <v>21226</v>
      </c>
      <c r="E15" s="12">
        <f>IFERROR(SUM('Data Sheet'!D23:D24),0)</f>
        <v>21492</v>
      </c>
      <c r="F15" s="12">
        <f>IFERROR(SUM('Data Sheet'!E23:E24),0)</f>
        <v>26441</v>
      </c>
      <c r="G15" s="12">
        <f>IFERROR(SUM('Data Sheet'!F23:F24),0)</f>
        <v>26983</v>
      </c>
      <c r="H15" s="12">
        <f>IFERROR(SUM('Data Sheet'!G23:G24),0)</f>
        <v>24355</v>
      </c>
      <c r="I15" s="12">
        <f>IFERROR(SUM('Data Sheet'!H23:H24),0)</f>
        <v>29980</v>
      </c>
      <c r="J15" s="12">
        <f>IFERROR(SUM('Data Sheet'!I23:I24),0)</f>
        <v>36796</v>
      </c>
      <c r="K15" s="12">
        <f>IFERROR(SUM('Data Sheet'!J23:J24),0)</f>
        <v>32764</v>
      </c>
      <c r="L15" s="12">
        <f>IFERROR(SUM('Data Sheet'!K23:K24),0)</f>
        <v>30481</v>
      </c>
      <c r="M15" s="12"/>
    </row>
    <row r="16" spans="1:15" x14ac:dyDescent="0.4">
      <c r="B16" s="15" t="s">
        <v>69</v>
      </c>
      <c r="C16" s="17">
        <f>C15/C6</f>
        <v>0.18454429983616516</v>
      </c>
      <c r="D16" s="17">
        <f t="shared" ref="D16:M16" si="4">D15/D6</f>
        <v>0.17993320109184002</v>
      </c>
      <c r="E16" s="17">
        <f t="shared" si="4"/>
        <v>0.17458409149987003</v>
      </c>
      <c r="F16" s="17">
        <f t="shared" si="4"/>
        <v>0.18053023630541501</v>
      </c>
      <c r="G16" s="17">
        <f t="shared" si="4"/>
        <v>0.17192208934112355</v>
      </c>
      <c r="H16" s="17">
        <f t="shared" si="4"/>
        <v>0.14834599243499394</v>
      </c>
      <c r="I16" s="17">
        <f t="shared" si="4"/>
        <v>0.15634615184037881</v>
      </c>
      <c r="J16" s="17">
        <f t="shared" si="4"/>
        <v>0.16320556378571618</v>
      </c>
      <c r="K16" s="17">
        <f t="shared" si="4"/>
        <v>0.13601059391514075</v>
      </c>
      <c r="L16" s="17">
        <f t="shared" si="4"/>
        <v>0.11938164841534678</v>
      </c>
      <c r="M16" s="17">
        <f t="shared" si="4"/>
        <v>0</v>
      </c>
    </row>
    <row r="18" spans="2:16" x14ac:dyDescent="0.4">
      <c r="B18" s="31" t="s">
        <v>65</v>
      </c>
      <c r="C18" s="32">
        <f t="shared" ref="C18:L18" si="5">C12-C15</f>
        <v>30677</v>
      </c>
      <c r="D18" s="32">
        <f t="shared" si="5"/>
        <v>32311</v>
      </c>
      <c r="E18" s="32">
        <f t="shared" si="5"/>
        <v>32516</v>
      </c>
      <c r="F18" s="32">
        <f t="shared" si="5"/>
        <v>39506</v>
      </c>
      <c r="G18" s="32">
        <f t="shared" si="5"/>
        <v>42109</v>
      </c>
      <c r="H18" s="32">
        <f t="shared" si="5"/>
        <v>46546</v>
      </c>
      <c r="I18" s="32">
        <f t="shared" si="5"/>
        <v>53057</v>
      </c>
      <c r="J18" s="32">
        <f t="shared" si="5"/>
        <v>59259</v>
      </c>
      <c r="K18" s="32">
        <f t="shared" si="5"/>
        <v>64296</v>
      </c>
      <c r="L18" s="32">
        <f t="shared" si="5"/>
        <v>67407</v>
      </c>
      <c r="M18" s="32">
        <f>IFERROR(SUM('Data Sheet'!H49:K49),0)</f>
        <v>70102</v>
      </c>
    </row>
    <row r="19" spans="2:16" x14ac:dyDescent="0.4">
      <c r="B19" s="15" t="s">
        <v>66</v>
      </c>
      <c r="C19" s="17">
        <f>C18/C6</f>
        <v>0.28235738085157303</v>
      </c>
      <c r="D19" s="17">
        <f t="shared" ref="D19:M19" si="6">D18/D6</f>
        <v>0.27390095451231711</v>
      </c>
      <c r="E19" s="17">
        <f t="shared" si="6"/>
        <v>0.26413439043410447</v>
      </c>
      <c r="F19" s="17">
        <f t="shared" si="6"/>
        <v>0.26973365286795981</v>
      </c>
      <c r="G19" s="17">
        <f t="shared" si="6"/>
        <v>0.26829734499741953</v>
      </c>
      <c r="H19" s="17">
        <f t="shared" si="6"/>
        <v>0.28351108864213626</v>
      </c>
      <c r="I19" s="17">
        <f t="shared" si="6"/>
        <v>0.27669305464292793</v>
      </c>
      <c r="J19" s="17">
        <f t="shared" si="6"/>
        <v>0.26283831134845514</v>
      </c>
      <c r="K19" s="17">
        <f t="shared" si="6"/>
        <v>0.26690688396923118</v>
      </c>
      <c r="L19" s="17">
        <f t="shared" si="6"/>
        <v>0.26400573389105608</v>
      </c>
      <c r="M19" s="17">
        <f t="shared" si="6"/>
        <v>0.26879395096663367</v>
      </c>
      <c r="P19" s="36"/>
    </row>
    <row r="21" spans="2:16" x14ac:dyDescent="0.4">
      <c r="B21" t="s">
        <v>6</v>
      </c>
      <c r="C21">
        <f>IFERROR('Data Sheet'!B27,0)</f>
        <v>33</v>
      </c>
      <c r="D21">
        <f>IFERROR('Data Sheet'!C27,0)</f>
        <v>32</v>
      </c>
      <c r="E21">
        <f>IFERROR('Data Sheet'!D27,0)</f>
        <v>52</v>
      </c>
      <c r="F21">
        <f>IFERROR('Data Sheet'!E27,0)</f>
        <v>198</v>
      </c>
      <c r="G21">
        <f>IFERROR('Data Sheet'!F27,0)</f>
        <v>924</v>
      </c>
      <c r="H21">
        <f>IFERROR('Data Sheet'!G27,0)</f>
        <v>637</v>
      </c>
      <c r="I21">
        <f>IFERROR('Data Sheet'!H27,0)</f>
        <v>784</v>
      </c>
      <c r="J21">
        <f>IFERROR('Data Sheet'!I27,0)</f>
        <v>779</v>
      </c>
      <c r="K21">
        <f>IFERROR('Data Sheet'!J27,0)</f>
        <v>778</v>
      </c>
      <c r="L21">
        <f>IFERROR('Data Sheet'!K27,0)</f>
        <v>796</v>
      </c>
      <c r="M21">
        <f>IFERROR(SUM('Data Sheet'!H45:K45),0)</f>
        <v>1189</v>
      </c>
    </row>
    <row r="22" spans="2:16" x14ac:dyDescent="0.4">
      <c r="B22" s="15" t="s">
        <v>68</v>
      </c>
      <c r="C22" s="17">
        <f>C21/C6</f>
        <v>3.0373874786002246E-4</v>
      </c>
      <c r="D22" s="17">
        <f t="shared" ref="D22:M22" si="7">D21/D6</f>
        <v>2.7126460166488649E-4</v>
      </c>
      <c r="E22" s="17">
        <f t="shared" si="7"/>
        <v>4.224070704445022E-4</v>
      </c>
      <c r="F22" s="17">
        <f t="shared" si="7"/>
        <v>1.3518772659306445E-3</v>
      </c>
      <c r="G22" s="17">
        <f t="shared" si="7"/>
        <v>5.8872627414000723E-3</v>
      </c>
      <c r="H22" s="17">
        <f t="shared" si="7"/>
        <v>3.879958824926756E-3</v>
      </c>
      <c r="I22" s="17">
        <f t="shared" si="7"/>
        <v>4.0885718159725483E-3</v>
      </c>
      <c r="J22" s="17">
        <f t="shared" si="7"/>
        <v>3.4551889930718805E-3</v>
      </c>
      <c r="K22" s="17">
        <f t="shared" si="7"/>
        <v>3.2296496784879592E-3</v>
      </c>
      <c r="L22" s="17">
        <f t="shared" si="7"/>
        <v>3.1176074321254562E-3</v>
      </c>
      <c r="M22" s="17">
        <f t="shared" si="7"/>
        <v>4.5590141179898923E-3</v>
      </c>
    </row>
    <row r="24" spans="2:16" x14ac:dyDescent="0.4">
      <c r="B24" t="s">
        <v>5</v>
      </c>
      <c r="C24" s="18">
        <f>IFERROR('Data Sheet'!B26,0)</f>
        <v>1888</v>
      </c>
      <c r="D24" s="18">
        <f>IFERROR('Data Sheet'!C26,0)</f>
        <v>1987</v>
      </c>
      <c r="E24" s="18">
        <f>IFERROR('Data Sheet'!D26,0)</f>
        <v>2014</v>
      </c>
      <c r="F24" s="18">
        <f>IFERROR('Data Sheet'!E26,0)</f>
        <v>2056</v>
      </c>
      <c r="G24" s="18">
        <f>IFERROR('Data Sheet'!F26,0)</f>
        <v>3529</v>
      </c>
      <c r="H24" s="18">
        <f>IFERROR('Data Sheet'!G26,0)</f>
        <v>4065</v>
      </c>
      <c r="I24" s="18">
        <f>IFERROR('Data Sheet'!H26,0)</f>
        <v>4604</v>
      </c>
      <c r="J24" s="18">
        <f>IFERROR('Data Sheet'!I26,0)</f>
        <v>5022</v>
      </c>
      <c r="K24" s="18">
        <f>IFERROR('Data Sheet'!J26,0)</f>
        <v>4985</v>
      </c>
      <c r="L24" s="18">
        <f>IFERROR('Data Sheet'!K26,0)</f>
        <v>5242</v>
      </c>
      <c r="M24" s="18">
        <f>IFERROR(SUM('Data Sheet'!H44:K44),0)</f>
        <v>5533</v>
      </c>
    </row>
    <row r="25" spans="2:16" x14ac:dyDescent="0.4">
      <c r="B25" s="15" t="s">
        <v>67</v>
      </c>
      <c r="C25" s="17">
        <f>C24/C6</f>
        <v>1.7377538059385526E-2</v>
      </c>
      <c r="D25" s="17">
        <f t="shared" ref="D25:M25" si="8">D24/D6</f>
        <v>1.6843836359629046E-2</v>
      </c>
      <c r="E25" s="17">
        <f t="shared" si="8"/>
        <v>1.6360150766831297E-2</v>
      </c>
      <c r="F25" s="17">
        <f t="shared" si="8"/>
        <v>1.4037675044209118E-2</v>
      </c>
      <c r="G25" s="17">
        <f t="shared" si="8"/>
        <v>2.248501105454638E-2</v>
      </c>
      <c r="H25" s="17">
        <f t="shared" si="8"/>
        <v>2.4759862830969016E-2</v>
      </c>
      <c r="I25" s="17">
        <f t="shared" si="8"/>
        <v>2.4009929388695932E-2</v>
      </c>
      <c r="J25" s="17">
        <f t="shared" si="8"/>
        <v>2.2274658694745805E-2</v>
      </c>
      <c r="K25" s="17">
        <f t="shared" si="8"/>
        <v>2.0693835022188273E-2</v>
      </c>
      <c r="L25" s="17">
        <f t="shared" si="8"/>
        <v>2.053077658191161E-2</v>
      </c>
      <c r="M25" s="17">
        <f t="shared" si="8"/>
        <v>2.121532810331209E-2</v>
      </c>
    </row>
    <row r="27" spans="2:16" x14ac:dyDescent="0.4">
      <c r="B27" s="31" t="s">
        <v>72</v>
      </c>
      <c r="C27" s="32">
        <f>C18-SUM(C21,C24)</f>
        <v>28756</v>
      </c>
      <c r="D27" s="32">
        <f t="shared" ref="D27:M27" si="9">D18-SUM(D21,D24)</f>
        <v>30292</v>
      </c>
      <c r="E27" s="32">
        <f t="shared" si="9"/>
        <v>30450</v>
      </c>
      <c r="F27" s="32">
        <f t="shared" si="9"/>
        <v>37252</v>
      </c>
      <c r="G27" s="32">
        <f t="shared" si="9"/>
        <v>37656</v>
      </c>
      <c r="H27" s="32">
        <f t="shared" si="9"/>
        <v>41844</v>
      </c>
      <c r="I27" s="32">
        <f t="shared" si="9"/>
        <v>47669</v>
      </c>
      <c r="J27" s="32">
        <f t="shared" si="9"/>
        <v>53458</v>
      </c>
      <c r="K27" s="32">
        <f t="shared" si="9"/>
        <v>58533</v>
      </c>
      <c r="L27" s="32">
        <f t="shared" si="9"/>
        <v>61369</v>
      </c>
      <c r="M27" s="32">
        <f t="shared" si="9"/>
        <v>63380</v>
      </c>
    </row>
    <row r="28" spans="2:16" x14ac:dyDescent="0.4">
      <c r="B28" s="15" t="s">
        <v>73</v>
      </c>
      <c r="C28" s="17">
        <f>C27/C6</f>
        <v>0.26467610404432745</v>
      </c>
      <c r="D28" s="17">
        <f t="shared" ref="D28:M28" si="10">D27/D6</f>
        <v>0.25678585355102318</v>
      </c>
      <c r="E28" s="17">
        <f t="shared" si="10"/>
        <v>0.24735183259682869</v>
      </c>
      <c r="F28" s="17">
        <f t="shared" si="10"/>
        <v>0.25434410055782009</v>
      </c>
      <c r="G28" s="17">
        <f t="shared" si="10"/>
        <v>0.23992507120147308</v>
      </c>
      <c r="H28" s="17">
        <f t="shared" si="10"/>
        <v>0.25487126698624046</v>
      </c>
      <c r="I28" s="17">
        <f t="shared" si="10"/>
        <v>0.24859455343825942</v>
      </c>
      <c r="J28" s="17">
        <f t="shared" si="10"/>
        <v>0.23710846366063745</v>
      </c>
      <c r="K28" s="17">
        <f t="shared" si="10"/>
        <v>0.24298339926855492</v>
      </c>
      <c r="L28" s="17">
        <f t="shared" si="10"/>
        <v>0.24035734987701901</v>
      </c>
      <c r="M28" s="17">
        <f t="shared" si="10"/>
        <v>0.24301960874533171</v>
      </c>
    </row>
    <row r="30" spans="2:16" x14ac:dyDescent="0.4">
      <c r="B30" t="s">
        <v>8</v>
      </c>
      <c r="C30" s="18">
        <f>IFERROR('Data Sheet'!B29,0)</f>
        <v>7502</v>
      </c>
      <c r="D30" s="18">
        <f>IFERROR('Data Sheet'!C29,0)</f>
        <v>8156</v>
      </c>
      <c r="E30" s="18">
        <f>IFERROR('Data Sheet'!D29,0)</f>
        <v>8212</v>
      </c>
      <c r="F30" s="18">
        <f>IFERROR('Data Sheet'!E29,0)</f>
        <v>10001</v>
      </c>
      <c r="G30" s="18">
        <f>IFERROR('Data Sheet'!F29,0)</f>
        <v>9801</v>
      </c>
      <c r="H30" s="18">
        <f>IFERROR('Data Sheet'!G29,0)</f>
        <v>11198</v>
      </c>
      <c r="I30" s="18">
        <f>IFERROR('Data Sheet'!H29,0)</f>
        <v>13238</v>
      </c>
      <c r="J30" s="18">
        <f>IFERROR('Data Sheet'!I29,0)</f>
        <v>14604</v>
      </c>
      <c r="K30" s="18">
        <f>IFERROR('Data Sheet'!J29,0)</f>
        <v>15898</v>
      </c>
      <c r="L30" s="18">
        <f>IFERROR('Data Sheet'!K29,0)</f>
        <v>16534</v>
      </c>
      <c r="M30" s="18">
        <f>IFERROR(SUM('Data Sheet'!H47:K47),0)</f>
        <v>15564</v>
      </c>
    </row>
    <row r="31" spans="2:16" x14ac:dyDescent="0.4">
      <c r="B31" s="15" t="s">
        <v>74</v>
      </c>
      <c r="C31" s="17">
        <f>C30/C27</f>
        <v>0.26088468493531786</v>
      </c>
      <c r="D31" s="17">
        <f t="shared" ref="D31:M31" si="11">D30/D27</f>
        <v>0.26924600554601874</v>
      </c>
      <c r="E31" s="17">
        <f t="shared" si="11"/>
        <v>0.26968801313628898</v>
      </c>
      <c r="F31" s="17">
        <f t="shared" si="11"/>
        <v>0.26846880704391712</v>
      </c>
      <c r="G31" s="17">
        <f t="shared" si="11"/>
        <v>0.26027724665391971</v>
      </c>
      <c r="H31" s="17">
        <f t="shared" si="11"/>
        <v>0.2676130389064143</v>
      </c>
      <c r="I31" s="17">
        <f t="shared" si="11"/>
        <v>0.27770668568671464</v>
      </c>
      <c r="J31" s="17">
        <f t="shared" si="11"/>
        <v>0.27318642672752441</v>
      </c>
      <c r="K31" s="17">
        <f t="shared" si="11"/>
        <v>0.27160746929082741</v>
      </c>
      <c r="L31" s="17">
        <f t="shared" si="11"/>
        <v>0.26941941371050532</v>
      </c>
      <c r="M31" s="17">
        <f t="shared" si="11"/>
        <v>0.2455664247396655</v>
      </c>
    </row>
    <row r="33" spans="1:13" x14ac:dyDescent="0.4">
      <c r="B33" s="31" t="s">
        <v>75</v>
      </c>
      <c r="C33" s="32">
        <f>C27-C30</f>
        <v>21254</v>
      </c>
      <c r="D33" s="32">
        <f t="shared" ref="D33:M33" si="12">D27-D30</f>
        <v>22136</v>
      </c>
      <c r="E33" s="32">
        <f t="shared" si="12"/>
        <v>22238</v>
      </c>
      <c r="F33" s="32">
        <f t="shared" si="12"/>
        <v>27251</v>
      </c>
      <c r="G33" s="32">
        <f t="shared" si="12"/>
        <v>27855</v>
      </c>
      <c r="H33" s="32">
        <f t="shared" si="12"/>
        <v>30646</v>
      </c>
      <c r="I33" s="32">
        <f t="shared" si="12"/>
        <v>34431</v>
      </c>
      <c r="J33" s="32">
        <f t="shared" si="12"/>
        <v>38854</v>
      </c>
      <c r="K33" s="32">
        <f t="shared" si="12"/>
        <v>42635</v>
      </c>
      <c r="L33" s="32">
        <f t="shared" si="12"/>
        <v>44835</v>
      </c>
      <c r="M33" s="32">
        <f t="shared" si="12"/>
        <v>47816</v>
      </c>
    </row>
    <row r="34" spans="1:13" x14ac:dyDescent="0.4">
      <c r="B34" s="15" t="s">
        <v>76</v>
      </c>
      <c r="C34" s="17">
        <f>C33/C6</f>
        <v>0.19562616203081568</v>
      </c>
      <c r="D34" s="17">
        <f t="shared" ref="D34:M34" si="13">D33/D6</f>
        <v>0.18764728820168522</v>
      </c>
      <c r="E34" s="17">
        <f t="shared" si="13"/>
        <v>0.18064400831817001</v>
      </c>
      <c r="F34" s="17">
        <f t="shared" si="13"/>
        <v>0.18606064330240402</v>
      </c>
      <c r="G34" s="17">
        <f t="shared" si="13"/>
        <v>0.17747803426590802</v>
      </c>
      <c r="H34" s="17">
        <f t="shared" si="13"/>
        <v>0.1866643926981246</v>
      </c>
      <c r="I34" s="17">
        <f t="shared" si="13"/>
        <v>0.17955818392315154</v>
      </c>
      <c r="J34" s="17">
        <f t="shared" si="13"/>
        <v>0.17233364972633483</v>
      </c>
      <c r="K34" s="17">
        <f t="shared" si="13"/>
        <v>0.17698729311354003</v>
      </c>
      <c r="L34" s="17">
        <f t="shared" si="13"/>
        <v>0.17560041359214176</v>
      </c>
      <c r="M34" s="17">
        <f t="shared" si="13"/>
        <v>0.18334215228410825</v>
      </c>
    </row>
    <row r="36" spans="1:13" x14ac:dyDescent="0.4">
      <c r="B36" t="s">
        <v>77</v>
      </c>
      <c r="C36" s="13">
        <f>IFERROR('Data Sheet'!B92,0)</f>
        <v>394.09</v>
      </c>
      <c r="D36" s="13">
        <f>IFERROR('Data Sheet'!C92,0)</f>
        <v>394.09</v>
      </c>
      <c r="E36" s="13">
        <f>IFERROR('Data Sheet'!D92,0)</f>
        <v>382.86</v>
      </c>
      <c r="F36" s="13">
        <f>IFERROR('Data Sheet'!E92,0)</f>
        <v>375.24</v>
      </c>
      <c r="G36" s="13">
        <f>IFERROR('Data Sheet'!F92,0)</f>
        <v>375.24</v>
      </c>
      <c r="H36" s="13">
        <f>IFERROR('Data Sheet'!G92,0)</f>
        <v>369.91</v>
      </c>
      <c r="I36" s="13">
        <f>IFERROR('Data Sheet'!H92,0)</f>
        <v>365.91</v>
      </c>
      <c r="J36" s="13">
        <f>IFERROR('Data Sheet'!I92,0)</f>
        <v>365.91</v>
      </c>
      <c r="K36" s="13">
        <f>IFERROR('Data Sheet'!J92,0)</f>
        <v>361.81</v>
      </c>
      <c r="L36" s="13">
        <f>IFERROR('Data Sheet'!K92,0)</f>
        <v>361.81</v>
      </c>
    </row>
    <row r="37" spans="1:13" x14ac:dyDescent="0.4"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3" x14ac:dyDescent="0.4">
      <c r="B38" t="s">
        <v>30</v>
      </c>
      <c r="C38" s="25">
        <f>IFERROR(C33/C36,0)</f>
        <v>53.931842980029948</v>
      </c>
      <c r="D38" s="25">
        <f t="shared" ref="D38:L38" si="14">IFERROR(D33/D36,0)</f>
        <v>56.169910426552313</v>
      </c>
      <c r="E38" s="25">
        <f t="shared" si="14"/>
        <v>58.083894896306745</v>
      </c>
      <c r="F38" s="25">
        <f t="shared" si="14"/>
        <v>72.622854706321291</v>
      </c>
      <c r="G38" s="25">
        <f t="shared" si="14"/>
        <v>74.232491205628392</v>
      </c>
      <c r="H38" s="25">
        <f t="shared" si="14"/>
        <v>82.847179043551122</v>
      </c>
      <c r="I38" s="25">
        <f t="shared" si="14"/>
        <v>94.096909076002291</v>
      </c>
      <c r="J38" s="25">
        <f t="shared" si="14"/>
        <v>106.18458090787351</v>
      </c>
      <c r="K38" s="25">
        <f t="shared" si="14"/>
        <v>117.8380918161466</v>
      </c>
      <c r="L38" s="25">
        <f t="shared" si="14"/>
        <v>123.918631325834</v>
      </c>
    </row>
    <row r="39" spans="1:13" x14ac:dyDescent="0.4">
      <c r="B39" s="15" t="s">
        <v>79</v>
      </c>
      <c r="C39" s="17" t="s">
        <v>80</v>
      </c>
      <c r="D39" s="17">
        <f>IFERROR(D38/C38-1,0)</f>
        <v>4.1498070951350163E-2</v>
      </c>
      <c r="E39" s="17">
        <f t="shared" ref="E39:L39" si="15">IFERROR(E38/D38-1,0)</f>
        <v>3.4074906924716375E-2</v>
      </c>
      <c r="F39" s="17">
        <f t="shared" si="15"/>
        <v>0.25030965702231178</v>
      </c>
      <c r="G39" s="17">
        <f t="shared" si="15"/>
        <v>2.2164324244981604E-2</v>
      </c>
      <c r="H39" s="17">
        <f t="shared" si="15"/>
        <v>0.1160500974439822</v>
      </c>
      <c r="I39" s="17">
        <f t="shared" si="15"/>
        <v>0.13578893285596849</v>
      </c>
      <c r="J39" s="17">
        <f t="shared" si="15"/>
        <v>0.12845981818709884</v>
      </c>
      <c r="K39" s="17">
        <f t="shared" si="15"/>
        <v>0.10974767530875096</v>
      </c>
      <c r="L39" s="17">
        <f t="shared" si="15"/>
        <v>5.1600797466869963E-2</v>
      </c>
      <c r="M39" s="17"/>
    </row>
    <row r="41" spans="1:13" x14ac:dyDescent="0.4">
      <c r="B41" s="8" t="s">
        <v>78</v>
      </c>
      <c r="C41" s="24">
        <f>IFERROR('Data Sheet'!B31/HistoricalFS!C36,0)</f>
        <v>21.745032860514097</v>
      </c>
      <c r="D41" s="24">
        <f>IFERROR('Data Sheet'!C31/HistoricalFS!D36,0)</f>
        <v>23.494633205612931</v>
      </c>
      <c r="E41" s="24">
        <f>IFERROR('Data Sheet'!D31/HistoricalFS!E36,0)</f>
        <v>24.943843702658935</v>
      </c>
      <c r="F41" s="24">
        <f>IFERROR('Data Sheet'!E31/HistoricalFS!F36,0)</f>
        <v>29.980812280140711</v>
      </c>
      <c r="G41" s="24">
        <f>IFERROR('Data Sheet'!F31/HistoricalFS!G36,0)</f>
        <v>72.953309881675722</v>
      </c>
      <c r="H41" s="24">
        <f>IFERROR('Data Sheet'!G31/HistoricalFS!H36,0)</f>
        <v>38.009245492146739</v>
      </c>
      <c r="I41" s="24">
        <f>IFERROR('Data Sheet'!H31/HistoricalFS!I36,0)</f>
        <v>43.010576371238827</v>
      </c>
      <c r="J41" s="24">
        <f>IFERROR('Data Sheet'!I31/HistoricalFS!J36,0)</f>
        <v>115.02828564401081</v>
      </c>
      <c r="K41" s="24">
        <f>IFERROR('Data Sheet'!J31/HistoricalFS!K36,0)</f>
        <v>73.038335037726981</v>
      </c>
      <c r="L41" s="24">
        <f>IFERROR('Data Sheet'!K31/HistoricalFS!L36,0)</f>
        <v>126.06616732539177</v>
      </c>
    </row>
    <row r="42" spans="1:13" x14ac:dyDescent="0.4">
      <c r="B42" s="15" t="s">
        <v>81</v>
      </c>
      <c r="C42" s="17">
        <f>IFERROR(C41/C38,0)</f>
        <v>0.40319469276371506</v>
      </c>
      <c r="D42" s="17">
        <f t="shared" ref="D42:L42" si="16">IFERROR(D41/D38,0)</f>
        <v>0.41827791832309358</v>
      </c>
      <c r="E42" s="17">
        <f t="shared" si="16"/>
        <v>0.42944509398327185</v>
      </c>
      <c r="F42" s="17">
        <f t="shared" si="16"/>
        <v>0.4128288870133206</v>
      </c>
      <c r="G42" s="17">
        <f t="shared" si="16"/>
        <v>0.98276790522347868</v>
      </c>
      <c r="H42" s="17">
        <f t="shared" si="16"/>
        <v>0.45878744371206692</v>
      </c>
      <c r="I42" s="17">
        <f t="shared" si="16"/>
        <v>0.45708808922192212</v>
      </c>
      <c r="J42" s="17">
        <f t="shared" si="16"/>
        <v>1.0832861481443352</v>
      </c>
      <c r="K42" s="17">
        <f t="shared" si="16"/>
        <v>0.61981939720886592</v>
      </c>
      <c r="L42" s="17">
        <f t="shared" si="16"/>
        <v>1.0173302107728337</v>
      </c>
    </row>
    <row r="44" spans="1:13" x14ac:dyDescent="0.4">
      <c r="B44" t="s">
        <v>82</v>
      </c>
      <c r="C44" s="26">
        <f>IFERROR(IF(C38&gt;C41,1-C42,0),0)</f>
        <v>0.59680530723628489</v>
      </c>
      <c r="D44" s="26">
        <f t="shared" ref="D44:L44" si="17">IFERROR(IF(D38&gt;D41,1-D42,0),0)</f>
        <v>0.58172208167690642</v>
      </c>
      <c r="E44" s="26">
        <f t="shared" si="17"/>
        <v>0.57055490601672809</v>
      </c>
      <c r="F44" s="26">
        <f t="shared" si="17"/>
        <v>0.58717111298667946</v>
      </c>
      <c r="G44" s="26">
        <f t="shared" si="17"/>
        <v>1.7232094776521323E-2</v>
      </c>
      <c r="H44" s="26">
        <f t="shared" si="17"/>
        <v>0.54121255628793308</v>
      </c>
      <c r="I44" s="26">
        <f t="shared" si="17"/>
        <v>0.54291191077807788</v>
      </c>
      <c r="J44" s="26">
        <f t="shared" si="17"/>
        <v>0</v>
      </c>
      <c r="K44" s="26">
        <f t="shared" si="17"/>
        <v>0.38018060279113408</v>
      </c>
      <c r="L44" s="26">
        <f t="shared" si="17"/>
        <v>0</v>
      </c>
    </row>
    <row r="46" spans="1:13" x14ac:dyDescent="0.4">
      <c r="A46" t="s">
        <v>58</v>
      </c>
      <c r="B46" s="22" t="s">
        <v>83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x14ac:dyDescent="0.4">
      <c r="B47" t="s">
        <v>10</v>
      </c>
      <c r="C47" s="18">
        <f>IFERROR('Data Sheet'!B56,0)</f>
        <v>197</v>
      </c>
      <c r="D47" s="18">
        <f>IFERROR('Data Sheet'!C56,0)</f>
        <v>197</v>
      </c>
      <c r="E47" s="18">
        <f>IFERROR('Data Sheet'!D56,0)</f>
        <v>191</v>
      </c>
      <c r="F47" s="18">
        <f>IFERROR('Data Sheet'!E56,0)</f>
        <v>375</v>
      </c>
      <c r="G47" s="18">
        <f>IFERROR('Data Sheet'!F56,0)</f>
        <v>375</v>
      </c>
      <c r="H47" s="18">
        <f>IFERROR('Data Sheet'!G56,0)</f>
        <v>370</v>
      </c>
      <c r="I47" s="18">
        <f>IFERROR('Data Sheet'!H56,0)</f>
        <v>366</v>
      </c>
      <c r="J47" s="18">
        <f>IFERROR('Data Sheet'!I56,0)</f>
        <v>366</v>
      </c>
      <c r="K47" s="18">
        <f>IFERROR('Data Sheet'!J56,0)</f>
        <v>362</v>
      </c>
      <c r="L47" s="18">
        <f>IFERROR('Data Sheet'!K56,0)</f>
        <v>362</v>
      </c>
    </row>
    <row r="48" spans="1:13" x14ac:dyDescent="0.4">
      <c r="B48" t="s">
        <v>11</v>
      </c>
      <c r="C48" s="18">
        <f>IFERROR('Data Sheet'!B57,0)</f>
        <v>70875</v>
      </c>
      <c r="D48" s="18">
        <f>IFERROR('Data Sheet'!C57,0)</f>
        <v>86017</v>
      </c>
      <c r="E48" s="18">
        <f>IFERROR('Data Sheet'!D57,0)</f>
        <v>84937</v>
      </c>
      <c r="F48" s="18">
        <f>IFERROR('Data Sheet'!E57,0)</f>
        <v>89071</v>
      </c>
      <c r="G48" s="18">
        <f>IFERROR('Data Sheet'!F57,0)</f>
        <v>83751</v>
      </c>
      <c r="H48" s="18">
        <f>IFERROR('Data Sheet'!G57,0)</f>
        <v>86063</v>
      </c>
      <c r="I48" s="18">
        <f>IFERROR('Data Sheet'!H57,0)</f>
        <v>88773</v>
      </c>
      <c r="J48" s="18">
        <f>IFERROR('Data Sheet'!I57,0)</f>
        <v>90058</v>
      </c>
      <c r="K48" s="18">
        <f>IFERROR('Data Sheet'!J57,0)</f>
        <v>90127</v>
      </c>
      <c r="L48" s="18">
        <f>IFERROR('Data Sheet'!K57,0)</f>
        <v>94394</v>
      </c>
    </row>
    <row r="49" spans="2:13" x14ac:dyDescent="0.4">
      <c r="B49" t="s">
        <v>36</v>
      </c>
      <c r="C49" s="18">
        <f>IFERROR('Data Sheet'!B58,0)</f>
        <v>245</v>
      </c>
      <c r="D49" s="18">
        <f>IFERROR('Data Sheet'!C58,0)</f>
        <v>289</v>
      </c>
      <c r="E49" s="18">
        <f>IFERROR('Data Sheet'!D58,0)</f>
        <v>247</v>
      </c>
      <c r="F49" s="18">
        <f>IFERROR('Data Sheet'!E58,0)</f>
        <v>62</v>
      </c>
      <c r="G49" s="18">
        <f>IFERROR('Data Sheet'!F58,0)</f>
        <v>8174</v>
      </c>
      <c r="H49" s="18">
        <f>IFERROR('Data Sheet'!G58,0)</f>
        <v>7795</v>
      </c>
      <c r="I49" s="18">
        <f>IFERROR('Data Sheet'!H58,0)</f>
        <v>7818</v>
      </c>
      <c r="J49" s="18">
        <f>IFERROR('Data Sheet'!I58,0)</f>
        <v>7688</v>
      </c>
      <c r="K49" s="18">
        <f>IFERROR('Data Sheet'!J58,0)</f>
        <v>8021</v>
      </c>
      <c r="L49" s="18">
        <f>IFERROR('Data Sheet'!K58,0)</f>
        <v>9392</v>
      </c>
    </row>
    <row r="50" spans="2:13" x14ac:dyDescent="0.4">
      <c r="B50" t="s">
        <v>37</v>
      </c>
      <c r="C50" s="18">
        <f>IFERROR('Data Sheet'!B59,0)</f>
        <v>16974</v>
      </c>
      <c r="D50" s="18">
        <f>IFERROR('Data Sheet'!C59,0)</f>
        <v>15830</v>
      </c>
      <c r="E50" s="18">
        <f>IFERROR('Data Sheet'!D59,0)</f>
        <v>19751</v>
      </c>
      <c r="F50" s="18">
        <f>IFERROR('Data Sheet'!E59,0)</f>
        <v>24393</v>
      </c>
      <c r="G50" s="18">
        <f>IFERROR('Data Sheet'!F59,0)</f>
        <v>27827</v>
      </c>
      <c r="H50" s="18">
        <f>IFERROR('Data Sheet'!G59,0)</f>
        <v>35764</v>
      </c>
      <c r="I50" s="18">
        <f>IFERROR('Data Sheet'!H59,0)</f>
        <v>43967</v>
      </c>
      <c r="J50" s="18">
        <f>IFERROR('Data Sheet'!I59,0)</f>
        <v>44747</v>
      </c>
      <c r="K50" s="18">
        <f>IFERROR('Data Sheet'!J59,0)</f>
        <v>46962</v>
      </c>
      <c r="L50" s="18">
        <f>IFERROR('Data Sheet'!K59,0)</f>
        <v>54501</v>
      </c>
    </row>
    <row r="51" spans="2:13" x14ac:dyDescent="0.4">
      <c r="B51" s="31" t="s">
        <v>84</v>
      </c>
      <c r="C51" s="32">
        <f>IFERROR(SUM(C47:C50),0)</f>
        <v>88291</v>
      </c>
      <c r="D51" s="32">
        <f t="shared" ref="D51:L51" si="18">IFERROR(SUM(D47:D50),0)</f>
        <v>102333</v>
      </c>
      <c r="E51" s="32">
        <f t="shared" si="18"/>
        <v>105126</v>
      </c>
      <c r="F51" s="32">
        <f t="shared" si="18"/>
        <v>113901</v>
      </c>
      <c r="G51" s="32">
        <f t="shared" si="18"/>
        <v>120127</v>
      </c>
      <c r="H51" s="32">
        <f t="shared" si="18"/>
        <v>129992</v>
      </c>
      <c r="I51" s="32">
        <f t="shared" si="18"/>
        <v>140924</v>
      </c>
      <c r="J51" s="32">
        <f t="shared" si="18"/>
        <v>142859</v>
      </c>
      <c r="K51" s="32">
        <f t="shared" si="18"/>
        <v>145472</v>
      </c>
      <c r="L51" s="32">
        <f t="shared" si="18"/>
        <v>158649</v>
      </c>
      <c r="M51" s="2"/>
    </row>
    <row r="52" spans="2:13" x14ac:dyDescent="0.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4">
      <c r="B53" t="s">
        <v>85</v>
      </c>
      <c r="C53" s="18">
        <f>IFERROR('Data Sheet'!B61,0)</f>
        <v>11774</v>
      </c>
      <c r="D53" s="18">
        <f>IFERROR('Data Sheet'!C61,0)</f>
        <v>11701</v>
      </c>
      <c r="E53" s="18">
        <f>IFERROR('Data Sheet'!D61,0)</f>
        <v>11973</v>
      </c>
      <c r="F53" s="18">
        <f>IFERROR('Data Sheet'!E61,0)</f>
        <v>12290</v>
      </c>
      <c r="G53" s="18">
        <f>IFERROR('Data Sheet'!F61,0)</f>
        <v>20928</v>
      </c>
      <c r="H53" s="18">
        <f>IFERROR('Data Sheet'!G61,0)</f>
        <v>21021</v>
      </c>
      <c r="I53" s="18">
        <f>IFERROR('Data Sheet'!H61,0)</f>
        <v>21298</v>
      </c>
      <c r="J53" s="18">
        <f>IFERROR('Data Sheet'!I61,0)</f>
        <v>20515</v>
      </c>
      <c r="K53" s="18">
        <f>IFERROR('Data Sheet'!J61,0)</f>
        <v>19604</v>
      </c>
      <c r="L53" s="18">
        <f>IFERROR('Data Sheet'!K61,0)</f>
        <v>23053</v>
      </c>
    </row>
    <row r="54" spans="2:13" x14ac:dyDescent="0.4">
      <c r="B54" t="s">
        <v>14</v>
      </c>
      <c r="C54" s="18">
        <f>IFERROR('Data Sheet'!B62,0)</f>
        <v>1670</v>
      </c>
      <c r="D54" s="18">
        <f>IFERROR('Data Sheet'!C62,0)</f>
        <v>1541</v>
      </c>
      <c r="E54" s="18">
        <f>IFERROR('Data Sheet'!D62,0)</f>
        <v>1278</v>
      </c>
      <c r="F54" s="18">
        <f>IFERROR('Data Sheet'!E62,0)</f>
        <v>963</v>
      </c>
      <c r="G54" s="18">
        <f>IFERROR('Data Sheet'!F62,0)</f>
        <v>906</v>
      </c>
      <c r="H54" s="18">
        <f>IFERROR('Data Sheet'!G62,0)</f>
        <v>926</v>
      </c>
      <c r="I54" s="18">
        <f>IFERROR('Data Sheet'!H62,0)</f>
        <v>1205</v>
      </c>
      <c r="J54" s="18">
        <f>IFERROR('Data Sheet'!I62,0)</f>
        <v>1234</v>
      </c>
      <c r="K54" s="18">
        <f>IFERROR('Data Sheet'!J62,0)</f>
        <v>1564</v>
      </c>
      <c r="L54" s="18">
        <f>IFERROR('Data Sheet'!K62,0)</f>
        <v>1546</v>
      </c>
    </row>
    <row r="55" spans="2:13" x14ac:dyDescent="0.4">
      <c r="B55" t="s">
        <v>15</v>
      </c>
      <c r="C55" s="18">
        <f>IFERROR('Data Sheet'!B63,0)</f>
        <v>22822</v>
      </c>
      <c r="D55" s="18">
        <f>IFERROR('Data Sheet'!C63,0)</f>
        <v>41980</v>
      </c>
      <c r="E55" s="18">
        <f>IFERROR('Data Sheet'!D63,0)</f>
        <v>36008</v>
      </c>
      <c r="F55" s="18">
        <f>IFERROR('Data Sheet'!E63,0)</f>
        <v>29330</v>
      </c>
      <c r="G55" s="18">
        <f>IFERROR('Data Sheet'!F63,0)</f>
        <v>26356</v>
      </c>
      <c r="H55" s="18">
        <f>IFERROR('Data Sheet'!G63,0)</f>
        <v>29373</v>
      </c>
      <c r="I55" s="18">
        <f>IFERROR('Data Sheet'!H63,0)</f>
        <v>30485</v>
      </c>
      <c r="J55" s="18">
        <f>IFERROR('Data Sheet'!I63,0)</f>
        <v>37163</v>
      </c>
      <c r="K55" s="18">
        <f>IFERROR('Data Sheet'!J63,0)</f>
        <v>31762</v>
      </c>
      <c r="L55" s="18">
        <f>IFERROR('Data Sheet'!K63,0)</f>
        <v>30964</v>
      </c>
    </row>
    <row r="56" spans="2:13" x14ac:dyDescent="0.4">
      <c r="B56" t="s">
        <v>38</v>
      </c>
      <c r="C56" s="18">
        <f>IFERROR((('Data Sheet'!B64)-SUM('Data Sheet'!B66:B68)),0)</f>
        <v>21148</v>
      </c>
      <c r="D56" s="18">
        <f>IFERROR((('Data Sheet'!C64)-SUM('Data Sheet'!C66:C68)),0)</f>
        <v>20324</v>
      </c>
      <c r="E56" s="18">
        <f>IFERROR((('Data Sheet'!D64)-SUM('Data Sheet'!D66:D68)),0)</f>
        <v>23737</v>
      </c>
      <c r="F56" s="18">
        <f>IFERROR((('Data Sheet'!E64)-SUM('Data Sheet'!E66:E68)),0)</f>
        <v>31114</v>
      </c>
      <c r="G56" s="18">
        <f>IFERROR((('Data Sheet'!F64)-SUM('Data Sheet'!F66:F68)),0)</f>
        <v>31734</v>
      </c>
      <c r="H56" s="18">
        <f>IFERROR((('Data Sheet'!G64)-SUM('Data Sheet'!G66:G68)),0)</f>
        <v>39256</v>
      </c>
      <c r="I56" s="18">
        <f>IFERROR((('Data Sheet'!H64)-SUM('Data Sheet'!H66:H68)),0)</f>
        <v>27885</v>
      </c>
      <c r="J56" s="18">
        <f>IFERROR((('Data Sheet'!I64)-SUM('Data Sheet'!I66:I68)),0)</f>
        <v>22933</v>
      </c>
      <c r="K56" s="18">
        <f>IFERROR((('Data Sheet'!J64)-SUM('Data Sheet'!J66:J68)),0)</f>
        <v>25651</v>
      </c>
      <c r="L56" s="18">
        <f>IFERROR((('Data Sheet'!K64)-SUM('Data Sheet'!K66:K68)),0)</f>
        <v>28556</v>
      </c>
    </row>
    <row r="57" spans="2:13" x14ac:dyDescent="0.4">
      <c r="B57" s="31" t="s">
        <v>86</v>
      </c>
      <c r="C57" s="32">
        <f>IFERROR(SUM(C53:C56),0)</f>
        <v>57414</v>
      </c>
      <c r="D57" s="32">
        <f t="shared" ref="D57:L57" si="19">IFERROR(SUM(D53:D56),0)</f>
        <v>75546</v>
      </c>
      <c r="E57" s="32">
        <f t="shared" si="19"/>
        <v>72996</v>
      </c>
      <c r="F57" s="32">
        <f t="shared" si="19"/>
        <v>73697</v>
      </c>
      <c r="G57" s="32">
        <f t="shared" si="19"/>
        <v>79924</v>
      </c>
      <c r="H57" s="32">
        <f t="shared" si="19"/>
        <v>90576</v>
      </c>
      <c r="I57" s="32">
        <f t="shared" si="19"/>
        <v>80873</v>
      </c>
      <c r="J57" s="32">
        <f t="shared" si="19"/>
        <v>81845</v>
      </c>
      <c r="K57" s="32">
        <f t="shared" si="19"/>
        <v>78581</v>
      </c>
      <c r="L57" s="32">
        <f t="shared" si="19"/>
        <v>84119</v>
      </c>
    </row>
    <row r="59" spans="2:13" x14ac:dyDescent="0.4">
      <c r="B59" t="s">
        <v>43</v>
      </c>
      <c r="C59" s="18">
        <f>IFERROR('Data Sheet'!B66,0)</f>
        <v>24073</v>
      </c>
      <c r="D59" s="18">
        <f>IFERROR('Data Sheet'!C66,0)</f>
        <v>22617</v>
      </c>
      <c r="E59" s="18">
        <f>IFERROR('Data Sheet'!D66,0)</f>
        <v>24943</v>
      </c>
      <c r="F59" s="18">
        <f>IFERROR('Data Sheet'!E66,0)</f>
        <v>27346</v>
      </c>
      <c r="G59" s="18">
        <f>IFERROR('Data Sheet'!F66,0)</f>
        <v>30532</v>
      </c>
      <c r="H59" s="18">
        <f>IFERROR('Data Sheet'!G66,0)</f>
        <v>30079</v>
      </c>
      <c r="I59" s="18">
        <f>IFERROR('Data Sheet'!H66,0)</f>
        <v>41810</v>
      </c>
      <c r="J59" s="18">
        <f>IFERROR('Data Sheet'!I66,0)</f>
        <v>49954</v>
      </c>
      <c r="K59" s="18">
        <f>IFERROR('Data Sheet'!J66,0)</f>
        <v>53577</v>
      </c>
      <c r="L59" s="18">
        <f>IFERROR('Data Sheet'!K66,0)</f>
        <v>59046</v>
      </c>
    </row>
    <row r="60" spans="2:13" x14ac:dyDescent="0.4">
      <c r="B60" t="s">
        <v>29</v>
      </c>
      <c r="C60" s="18">
        <f>IFERROR('Data Sheet'!B67,0)</f>
        <v>16</v>
      </c>
      <c r="D60" s="18">
        <f>IFERROR('Data Sheet'!C67,0)</f>
        <v>21</v>
      </c>
      <c r="E60" s="18">
        <f>IFERROR('Data Sheet'!D67,0)</f>
        <v>26</v>
      </c>
      <c r="F60" s="18">
        <f>IFERROR('Data Sheet'!E67,0)</f>
        <v>10</v>
      </c>
      <c r="G60" s="18">
        <f>IFERROR('Data Sheet'!F67,0)</f>
        <v>5</v>
      </c>
      <c r="H60" s="18">
        <f>IFERROR('Data Sheet'!G67,0)</f>
        <v>8</v>
      </c>
      <c r="I60" s="18">
        <f>IFERROR('Data Sheet'!H67,0)</f>
        <v>20</v>
      </c>
      <c r="J60" s="18">
        <f>IFERROR('Data Sheet'!I67,0)</f>
        <v>28</v>
      </c>
      <c r="K60" s="18">
        <f>IFERROR('Data Sheet'!J67,0)</f>
        <v>28</v>
      </c>
      <c r="L60" s="18">
        <f>IFERROR('Data Sheet'!K67,0)</f>
        <v>21</v>
      </c>
    </row>
    <row r="61" spans="2:13" x14ac:dyDescent="0.4">
      <c r="B61" t="s">
        <v>52</v>
      </c>
      <c r="C61" s="18">
        <f>IFERROR('Data Sheet'!B68,0)</f>
        <v>6788</v>
      </c>
      <c r="D61" s="18">
        <f>IFERROR('Data Sheet'!C68,0)</f>
        <v>4149</v>
      </c>
      <c r="E61" s="18">
        <f>IFERROR('Data Sheet'!D68,0)</f>
        <v>7161</v>
      </c>
      <c r="F61" s="18">
        <f>IFERROR('Data Sheet'!E68,0)</f>
        <v>12848</v>
      </c>
      <c r="G61" s="18">
        <f>IFERROR('Data Sheet'!F68,0)</f>
        <v>9666</v>
      </c>
      <c r="H61" s="18">
        <f>IFERROR('Data Sheet'!G68,0)</f>
        <v>9329</v>
      </c>
      <c r="I61" s="18">
        <f>IFERROR('Data Sheet'!H68,0)</f>
        <v>18221</v>
      </c>
      <c r="J61" s="18">
        <f>IFERROR('Data Sheet'!I68,0)</f>
        <v>11032</v>
      </c>
      <c r="K61" s="18">
        <f>IFERROR('Data Sheet'!J68,0)</f>
        <v>13286</v>
      </c>
      <c r="L61" s="18">
        <f>IFERROR('Data Sheet'!K68,0)</f>
        <v>15463</v>
      </c>
    </row>
    <row r="62" spans="2:13" x14ac:dyDescent="0.4">
      <c r="B62" s="31" t="s">
        <v>87</v>
      </c>
      <c r="C62" s="32">
        <f>IFERROR(SUM(C59:C61),0)</f>
        <v>30877</v>
      </c>
      <c r="D62" s="32">
        <f t="shared" ref="D62:L62" si="20">IFERROR(SUM(D59:D61),0)</f>
        <v>26787</v>
      </c>
      <c r="E62" s="32">
        <f t="shared" si="20"/>
        <v>32130</v>
      </c>
      <c r="F62" s="32">
        <f t="shared" si="20"/>
        <v>40204</v>
      </c>
      <c r="G62" s="32">
        <f t="shared" si="20"/>
        <v>40203</v>
      </c>
      <c r="H62" s="32">
        <f t="shared" si="20"/>
        <v>39416</v>
      </c>
      <c r="I62" s="32">
        <f t="shared" si="20"/>
        <v>60051</v>
      </c>
      <c r="J62" s="32">
        <f t="shared" si="20"/>
        <v>61014</v>
      </c>
      <c r="K62" s="32">
        <f t="shared" si="20"/>
        <v>66891</v>
      </c>
      <c r="L62" s="32">
        <f t="shared" si="20"/>
        <v>74530</v>
      </c>
      <c r="M62" s="2"/>
    </row>
    <row r="64" spans="2:13" x14ac:dyDescent="0.4">
      <c r="B64" s="31" t="s">
        <v>88</v>
      </c>
      <c r="C64" s="32">
        <f>IFERROR(SUM(C57,C62),0)</f>
        <v>88291</v>
      </c>
      <c r="D64" s="32">
        <f t="shared" ref="D64:L64" si="21">IFERROR(SUM(D57,D62),0)</f>
        <v>102333</v>
      </c>
      <c r="E64" s="32">
        <f t="shared" si="21"/>
        <v>105126</v>
      </c>
      <c r="F64" s="32">
        <f t="shared" si="21"/>
        <v>113901</v>
      </c>
      <c r="G64" s="32">
        <f t="shared" si="21"/>
        <v>120127</v>
      </c>
      <c r="H64" s="32">
        <f t="shared" si="21"/>
        <v>129992</v>
      </c>
      <c r="I64" s="32">
        <f t="shared" si="21"/>
        <v>140924</v>
      </c>
      <c r="J64" s="32">
        <f t="shared" si="21"/>
        <v>142859</v>
      </c>
      <c r="K64" s="32">
        <f t="shared" si="21"/>
        <v>145472</v>
      </c>
      <c r="L64" s="32">
        <f t="shared" si="21"/>
        <v>158649</v>
      </c>
      <c r="M64" s="2"/>
    </row>
    <row r="66" spans="1:13" x14ac:dyDescent="0.4">
      <c r="B66" s="14" t="s">
        <v>89</v>
      </c>
      <c r="C66" s="14" t="b">
        <f>C64=C51</f>
        <v>1</v>
      </c>
      <c r="D66" s="14" t="b">
        <f t="shared" ref="D66:L66" si="22">D64=D51</f>
        <v>1</v>
      </c>
      <c r="E66" s="14" t="b">
        <f t="shared" si="22"/>
        <v>1</v>
      </c>
      <c r="F66" s="14" t="b">
        <f t="shared" si="22"/>
        <v>1</v>
      </c>
      <c r="G66" s="14" t="b">
        <f t="shared" si="22"/>
        <v>1</v>
      </c>
      <c r="H66" s="14" t="b">
        <f t="shared" si="22"/>
        <v>1</v>
      </c>
      <c r="I66" s="14" t="b">
        <f t="shared" si="22"/>
        <v>1</v>
      </c>
      <c r="J66" s="14" t="b">
        <f t="shared" si="22"/>
        <v>1</v>
      </c>
      <c r="K66" s="14" t="b">
        <f t="shared" si="22"/>
        <v>1</v>
      </c>
      <c r="L66" s="14" t="b">
        <f t="shared" si="22"/>
        <v>1</v>
      </c>
    </row>
    <row r="68" spans="1:13" x14ac:dyDescent="0.4">
      <c r="A68" t="s">
        <v>58</v>
      </c>
      <c r="B68" s="22" t="s">
        <v>115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x14ac:dyDescent="0.4">
      <c r="B69" s="2" t="s">
        <v>117</v>
      </c>
    </row>
    <row r="70" spans="1:13" x14ac:dyDescent="0.4">
      <c r="B70" t="s">
        <v>91</v>
      </c>
      <c r="C70" s="12">
        <f>IFERROR('Cash Flow Data'!C4,0)</f>
        <v>31631</v>
      </c>
      <c r="D70" s="12">
        <f>IFERROR('Cash Flow Data'!D4,0)</f>
        <v>33800</v>
      </c>
      <c r="E70" s="12">
        <f>IFERROR('Cash Flow Data'!E4,0)</f>
        <v>32885</v>
      </c>
      <c r="F70" s="12">
        <f>IFERROR('Cash Flow Data'!F4,0)</f>
        <v>40720</v>
      </c>
      <c r="G70" s="12">
        <f>IFERROR('Cash Flow Data'!G4,0)</f>
        <v>42882</v>
      </c>
      <c r="H70" s="12">
        <f>IFERROR('Cash Flow Data'!H4,0)</f>
        <v>47031</v>
      </c>
      <c r="I70" s="12">
        <f>IFERROR('Cash Flow Data'!I4,0)</f>
        <v>54204</v>
      </c>
      <c r="J70" s="12">
        <f>IFERROR('Cash Flow Data'!J4,0)</f>
        <v>59148</v>
      </c>
      <c r="K70" s="12">
        <f>IFERROR('Cash Flow Data'!K4,0)</f>
        <v>63709</v>
      </c>
      <c r="L70" s="12">
        <f>IFERROR('Cash Flow Data'!L4,0)</f>
        <v>67853</v>
      </c>
    </row>
    <row r="71" spans="1:13" x14ac:dyDescent="0.4">
      <c r="B71" t="s">
        <v>43</v>
      </c>
      <c r="C71" s="12">
        <f>IFERROR('Cash Flow Data'!C5,0)</f>
        <v>-2936</v>
      </c>
      <c r="D71" s="12">
        <f>IFERROR('Cash Flow Data'!D5,0)</f>
        <v>680</v>
      </c>
      <c r="E71" s="12">
        <f>IFERROR('Cash Flow Data'!E5,0)</f>
        <v>-1833</v>
      </c>
      <c r="F71" s="12">
        <f>IFERROR('Cash Flow Data'!F5,0)</f>
        <v>-2883</v>
      </c>
      <c r="G71" s="12">
        <f>IFERROR('Cash Flow Data'!G5,0)</f>
        <v>-3295</v>
      </c>
      <c r="H71" s="12">
        <f>IFERROR('Cash Flow Data'!H5,0)</f>
        <v>1059</v>
      </c>
      <c r="I71" s="12">
        <f>IFERROR('Cash Flow Data'!I5,0)</f>
        <v>-5144</v>
      </c>
      <c r="J71" s="12">
        <f>IFERROR('Cash Flow Data'!J5,0)</f>
        <v>-7683</v>
      </c>
      <c r="K71" s="12">
        <f>IFERROR('Cash Flow Data'!K5,0)</f>
        <v>-3332</v>
      </c>
      <c r="L71" s="12">
        <f>IFERROR('Cash Flow Data'!L5,0)</f>
        <v>-5228</v>
      </c>
    </row>
    <row r="72" spans="1:13" x14ac:dyDescent="0.4">
      <c r="B72" t="s">
        <v>29</v>
      </c>
      <c r="C72" s="12">
        <f>IFERROR('Cash Flow Data'!C6,0)</f>
        <v>0</v>
      </c>
      <c r="D72" s="12">
        <f>IFERROR('Cash Flow Data'!D6,0)</f>
        <v>0</v>
      </c>
      <c r="E72" s="12">
        <f>IFERROR('Cash Flow Data'!E6,0)</f>
        <v>-5</v>
      </c>
      <c r="F72" s="12">
        <f>IFERROR('Cash Flow Data'!F6,0)</f>
        <v>16</v>
      </c>
      <c r="G72" s="12">
        <f>IFERROR('Cash Flow Data'!G6,0)</f>
        <v>5</v>
      </c>
      <c r="H72" s="12">
        <f>IFERROR('Cash Flow Data'!H6,0)</f>
        <v>-3</v>
      </c>
      <c r="I72" s="12">
        <f>IFERROR('Cash Flow Data'!I6,0)</f>
        <v>-12</v>
      </c>
      <c r="J72" s="12">
        <f>IFERROR('Cash Flow Data'!J6,0)</f>
        <v>-8</v>
      </c>
      <c r="K72" s="12">
        <f>IFERROR('Cash Flow Data'!K6,0)</f>
        <v>0</v>
      </c>
      <c r="L72" s="12">
        <f>IFERROR('Cash Flow Data'!L6,0)</f>
        <v>7</v>
      </c>
    </row>
    <row r="73" spans="1:13" x14ac:dyDescent="0.4">
      <c r="B73" t="s">
        <v>92</v>
      </c>
      <c r="C73" s="12">
        <f>IFERROR('Cash Flow Data'!C7,0)</f>
        <v>-2039</v>
      </c>
      <c r="D73" s="12">
        <f>IFERROR('Cash Flow Data'!D7,0)</f>
        <v>-201</v>
      </c>
      <c r="E73" s="12">
        <f>IFERROR('Cash Flow Data'!E7,0)</f>
        <v>-346</v>
      </c>
      <c r="F73" s="12">
        <f>IFERROR('Cash Flow Data'!F7,0)</f>
        <v>1496</v>
      </c>
      <c r="G73" s="12">
        <f>IFERROR('Cash Flow Data'!G7,0)</f>
        <v>446</v>
      </c>
      <c r="H73" s="12">
        <f>IFERROR('Cash Flow Data'!H7,0)</f>
        <v>-93</v>
      </c>
      <c r="I73" s="12">
        <f>IFERROR('Cash Flow Data'!I7,0)</f>
        <v>186</v>
      </c>
      <c r="J73" s="12">
        <f>IFERROR('Cash Flow Data'!J7,0)</f>
        <v>2036</v>
      </c>
      <c r="K73" s="12">
        <f>IFERROR('Cash Flow Data'!K7,0)</f>
        <v>-632</v>
      </c>
      <c r="L73" s="12">
        <f>IFERROR('Cash Flow Data'!L7,0)</f>
        <v>3718</v>
      </c>
    </row>
    <row r="74" spans="1:13" x14ac:dyDescent="0.4">
      <c r="B74" t="s">
        <v>93</v>
      </c>
      <c r="C74" s="12">
        <f>IFERROR('Cash Flow Data'!C8,0)</f>
        <v>-798</v>
      </c>
      <c r="D74" s="12">
        <f>IFERROR('Cash Flow Data'!D8,0)</f>
        <v>0</v>
      </c>
      <c r="E74" s="12">
        <f>IFERROR('Cash Flow Data'!E8,0)</f>
        <v>0</v>
      </c>
      <c r="F74" s="12">
        <f>IFERROR('Cash Flow Data'!F8,0)</f>
        <v>-499</v>
      </c>
      <c r="G74" s="12">
        <f>IFERROR('Cash Flow Data'!G8,0)</f>
        <v>0</v>
      </c>
      <c r="H74" s="12">
        <f>IFERROR('Cash Flow Data'!H8,0)</f>
        <v>-17</v>
      </c>
      <c r="I74" s="12">
        <f>IFERROR('Cash Flow Data'!I8,0)</f>
        <v>-116</v>
      </c>
      <c r="J74" s="12">
        <f>IFERROR('Cash Flow Data'!J8,0)</f>
        <v>261</v>
      </c>
      <c r="K74" s="12">
        <f>IFERROR('Cash Flow Data'!K8,0)</f>
        <v>-301</v>
      </c>
      <c r="L74" s="12">
        <f>IFERROR('Cash Flow Data'!L8,0)</f>
        <v>-738</v>
      </c>
    </row>
    <row r="75" spans="1:13" x14ac:dyDescent="0.4">
      <c r="B75" t="s">
        <v>94</v>
      </c>
      <c r="C75" s="12">
        <f>IFERROR('Cash Flow Data'!C9,0)</f>
        <v>829</v>
      </c>
      <c r="D75" s="12">
        <f>IFERROR('Cash Flow Data'!D9,0)</f>
        <v>-1110</v>
      </c>
      <c r="E75" s="12">
        <f>IFERROR('Cash Flow Data'!E9,0)</f>
        <v>1975</v>
      </c>
      <c r="F75" s="12">
        <f>IFERROR('Cash Flow Data'!F9,0)</f>
        <v>-299</v>
      </c>
      <c r="G75" s="12">
        <f>IFERROR('Cash Flow Data'!G9,0)</f>
        <v>-1823</v>
      </c>
      <c r="H75" s="12">
        <f>IFERROR('Cash Flow Data'!H9,0)</f>
        <v>-83</v>
      </c>
      <c r="I75" s="12">
        <f>IFERROR('Cash Flow Data'!I9,0)</f>
        <v>2317</v>
      </c>
      <c r="J75" s="12">
        <f>IFERROR('Cash Flow Data'!J9,0)</f>
        <v>1177</v>
      </c>
      <c r="K75" s="12">
        <f>IFERROR('Cash Flow Data'!K9,0)</f>
        <v>-2617</v>
      </c>
      <c r="L75" s="12">
        <f>IFERROR('Cash Flow Data'!L9,0)</f>
        <v>-1118</v>
      </c>
    </row>
    <row r="76" spans="1:13" x14ac:dyDescent="0.4">
      <c r="B76" t="s">
        <v>95</v>
      </c>
      <c r="C76" s="12">
        <f>IFERROR('Cash Flow Data'!C10,0)</f>
        <v>-4944</v>
      </c>
      <c r="D76" s="12">
        <f>IFERROR('Cash Flow Data'!D10,0)</f>
        <v>-631</v>
      </c>
      <c r="E76" s="12">
        <f>IFERROR('Cash Flow Data'!E10,0)</f>
        <v>-209</v>
      </c>
      <c r="F76" s="12">
        <f>IFERROR('Cash Flow Data'!F10,0)</f>
        <v>-2169</v>
      </c>
      <c r="G76" s="12">
        <f>IFERROR('Cash Flow Data'!G10,0)</f>
        <v>-4667</v>
      </c>
      <c r="H76" s="12">
        <f>IFERROR('Cash Flow Data'!H10,0)</f>
        <v>863</v>
      </c>
      <c r="I76" s="12">
        <f>IFERROR('Cash Flow Data'!I10,0)</f>
        <v>-2769</v>
      </c>
      <c r="J76" s="12">
        <f>IFERROR('Cash Flow Data'!J10,0)</f>
        <v>-4217</v>
      </c>
      <c r="K76" s="12">
        <f>IFERROR('Cash Flow Data'!K10,0)</f>
        <v>-6882</v>
      </c>
      <c r="L76" s="12">
        <f>IFERROR('Cash Flow Data'!L10,0)</f>
        <v>-3359</v>
      </c>
    </row>
    <row r="77" spans="1:13" x14ac:dyDescent="0.4">
      <c r="B77" t="s">
        <v>96</v>
      </c>
      <c r="C77" s="12">
        <f>IFERROR('Cash Flow Data'!C11,0)</f>
        <v>-7578</v>
      </c>
      <c r="D77" s="12">
        <f>IFERROR('Cash Flow Data'!D11,0)</f>
        <v>-7946</v>
      </c>
      <c r="E77" s="12">
        <f>IFERROR('Cash Flow Data'!E11,0)</f>
        <v>-7609</v>
      </c>
      <c r="F77" s="12">
        <f>IFERROR('Cash Flow Data'!F11,0)</f>
        <v>-9958</v>
      </c>
      <c r="G77" s="12">
        <f>IFERROR('Cash Flow Data'!G11,0)</f>
        <v>-5846</v>
      </c>
      <c r="H77" s="12">
        <f>IFERROR('Cash Flow Data'!H11,0)</f>
        <v>-9092</v>
      </c>
      <c r="I77" s="12">
        <f>IFERROR('Cash Flow Data'!I11,0)</f>
        <v>-11486</v>
      </c>
      <c r="J77" s="12">
        <f>IFERROR('Cash Flow Data'!J11,0)</f>
        <v>-12966</v>
      </c>
      <c r="K77" s="12">
        <f>IFERROR('Cash Flow Data'!K11,0)</f>
        <v>-12489</v>
      </c>
      <c r="L77" s="12">
        <f>IFERROR('Cash Flow Data'!L11,0)</f>
        <v>-15586</v>
      </c>
    </row>
    <row r="78" spans="1:13" x14ac:dyDescent="0.4">
      <c r="B78" s="2" t="s">
        <v>116</v>
      </c>
      <c r="C78" s="29">
        <f>IFERROR(SUM(C70,C74,C76,C77,C75),0)</f>
        <v>19140</v>
      </c>
      <c r="D78" s="29">
        <f t="shared" ref="D78:L78" si="23">IFERROR(SUM(D70,D74,D76,D77,D75),0)</f>
        <v>24113</v>
      </c>
      <c r="E78" s="29">
        <f t="shared" si="23"/>
        <v>27042</v>
      </c>
      <c r="F78" s="29">
        <f t="shared" si="23"/>
        <v>27795</v>
      </c>
      <c r="G78" s="29">
        <f t="shared" si="23"/>
        <v>30546</v>
      </c>
      <c r="H78" s="29">
        <f t="shared" si="23"/>
        <v>38702</v>
      </c>
      <c r="I78" s="29">
        <f t="shared" si="23"/>
        <v>42150</v>
      </c>
      <c r="J78" s="29">
        <f t="shared" si="23"/>
        <v>43403</v>
      </c>
      <c r="K78" s="29">
        <f t="shared" si="23"/>
        <v>41420</v>
      </c>
      <c r="L78" s="29">
        <f t="shared" si="23"/>
        <v>47052</v>
      </c>
    </row>
    <row r="79" spans="1:13" x14ac:dyDescent="0.4">
      <c r="B79" s="104" t="s">
        <v>228</v>
      </c>
      <c r="C79" s="29"/>
      <c r="D79" s="94">
        <f>(D78-C78)/C78</f>
        <v>0.25982236154649946</v>
      </c>
      <c r="E79" s="94">
        <f t="shared" ref="E79:L79" si="24">(E78-D78)/D78</f>
        <v>0.1214697466097126</v>
      </c>
      <c r="F79" s="94">
        <f t="shared" si="24"/>
        <v>2.7845573552252052E-2</v>
      </c>
      <c r="G79" s="94">
        <f t="shared" si="24"/>
        <v>9.8974635725849969E-2</v>
      </c>
      <c r="H79" s="94">
        <f t="shared" si="24"/>
        <v>0.26700713677731946</v>
      </c>
      <c r="I79" s="94">
        <f t="shared" si="24"/>
        <v>8.9091003048938036E-2</v>
      </c>
      <c r="J79" s="94">
        <f t="shared" si="24"/>
        <v>2.9727164887307235E-2</v>
      </c>
      <c r="K79" s="94">
        <f t="shared" si="24"/>
        <v>-4.5688086076999285E-2</v>
      </c>
      <c r="L79" s="94">
        <f t="shared" si="24"/>
        <v>0.13597295992274264</v>
      </c>
      <c r="M79" s="105">
        <f>AVERAGE(D79:L79)</f>
        <v>0.10935805511040246</v>
      </c>
    </row>
    <row r="81" spans="2:12" x14ac:dyDescent="0.4">
      <c r="B81" s="2" t="s">
        <v>118</v>
      </c>
    </row>
    <row r="82" spans="2:12" x14ac:dyDescent="0.4">
      <c r="B82" t="s">
        <v>98</v>
      </c>
      <c r="C82" s="12">
        <f>IFERROR('Cash Flow Data'!C13,0)</f>
        <v>-1987</v>
      </c>
      <c r="D82" s="12">
        <f>IFERROR('Cash Flow Data'!D13,0)</f>
        <v>-1989</v>
      </c>
      <c r="E82" s="12">
        <f>IFERROR('Cash Flow Data'!E13,0)</f>
        <v>-1862</v>
      </c>
      <c r="F82" s="12">
        <f>IFERROR('Cash Flow Data'!F13,0)</f>
        <v>-2231</v>
      </c>
      <c r="G82" s="12">
        <f>IFERROR('Cash Flow Data'!G13,0)</f>
        <v>-3249</v>
      </c>
      <c r="H82" s="12">
        <f>IFERROR('Cash Flow Data'!H13,0)</f>
        <v>-3176</v>
      </c>
      <c r="I82" s="12">
        <f>IFERROR('Cash Flow Data'!I13,0)</f>
        <v>-2995</v>
      </c>
      <c r="J82" s="12">
        <f>IFERROR('Cash Flow Data'!J13,0)</f>
        <v>-3100</v>
      </c>
      <c r="K82" s="12">
        <f>IFERROR('Cash Flow Data'!K13,0)</f>
        <v>-2674</v>
      </c>
      <c r="L82" s="12">
        <f>IFERROR('Cash Flow Data'!L13,0)</f>
        <v>-3937</v>
      </c>
    </row>
    <row r="83" spans="2:12" x14ac:dyDescent="0.4">
      <c r="B83" t="s">
        <v>99</v>
      </c>
      <c r="C83" s="12">
        <f>IFERROR('Cash Flow Data'!C14,0)</f>
        <v>22</v>
      </c>
      <c r="D83" s="12">
        <f>IFERROR('Cash Flow Data'!D14,0)</f>
        <v>36</v>
      </c>
      <c r="E83" s="12">
        <f>IFERROR('Cash Flow Data'!E14,0)</f>
        <v>58</v>
      </c>
      <c r="F83" s="12">
        <f>IFERROR('Cash Flow Data'!F14,0)</f>
        <v>99</v>
      </c>
      <c r="G83" s="12">
        <f>IFERROR('Cash Flow Data'!G14,0)</f>
        <v>161</v>
      </c>
      <c r="H83" s="12">
        <f>IFERROR('Cash Flow Data'!H14,0)</f>
        <v>37</v>
      </c>
      <c r="I83" s="12">
        <f>IFERROR('Cash Flow Data'!I14,0)</f>
        <v>31</v>
      </c>
      <c r="J83" s="12">
        <f>IFERROR('Cash Flow Data'!J14,0)</f>
        <v>37</v>
      </c>
      <c r="K83" s="12">
        <f>IFERROR('Cash Flow Data'!K14,0)</f>
        <v>24</v>
      </c>
      <c r="L83" s="12">
        <f>IFERROR('Cash Flow Data'!L14,0)</f>
        <v>23</v>
      </c>
    </row>
    <row r="84" spans="2:12" x14ac:dyDescent="0.4">
      <c r="B84" t="s">
        <v>100</v>
      </c>
      <c r="C84" s="12">
        <f>IFERROR('Cash Flow Data'!C15,0)</f>
        <v>-116847</v>
      </c>
      <c r="D84" s="12">
        <f>IFERROR('Cash Flow Data'!D15,0)</f>
        <v>-121423</v>
      </c>
      <c r="E84" s="12">
        <f>IFERROR('Cash Flow Data'!E15,0)</f>
        <v>-97473</v>
      </c>
      <c r="F84" s="12">
        <f>IFERROR('Cash Flow Data'!F15,0)</f>
        <v>-96751</v>
      </c>
      <c r="G84" s="12">
        <f>IFERROR('Cash Flow Data'!G15,0)</f>
        <v>-80002</v>
      </c>
      <c r="H84" s="12">
        <f>IFERROR('Cash Flow Data'!H15,0)</f>
        <v>-54462</v>
      </c>
      <c r="I84" s="12">
        <f>IFERROR('Cash Flow Data'!I15,0)</f>
        <v>-75374</v>
      </c>
      <c r="J84" s="12">
        <f>IFERROR('Cash Flow Data'!J15,0)</f>
        <v>-129745</v>
      </c>
      <c r="K84" s="12">
        <f>IFERROR('Cash Flow Data'!K15,0)</f>
        <v>-141011</v>
      </c>
      <c r="L84" s="12">
        <f>IFERROR('Cash Flow Data'!L15,0)</f>
        <v>-145962</v>
      </c>
    </row>
    <row r="85" spans="2:12" x14ac:dyDescent="0.4">
      <c r="B85" t="s">
        <v>101</v>
      </c>
      <c r="C85" s="12">
        <f>IFERROR('Cash Flow Data'!C16,0)</f>
        <v>97154</v>
      </c>
      <c r="D85" s="12">
        <f>IFERROR('Cash Flow Data'!D16,0)</f>
        <v>102798</v>
      </c>
      <c r="E85" s="12">
        <f>IFERROR('Cash Flow Data'!E16,0)</f>
        <v>103482</v>
      </c>
      <c r="F85" s="12">
        <f>IFERROR('Cash Flow Data'!F16,0)</f>
        <v>104133</v>
      </c>
      <c r="G85" s="12">
        <f>IFERROR('Cash Flow Data'!G16,0)</f>
        <v>84089</v>
      </c>
      <c r="H85" s="12">
        <f>IFERROR('Cash Flow Data'!H16,0)</f>
        <v>51630</v>
      </c>
      <c r="I85" s="12">
        <f>IFERROR('Cash Flow Data'!I16,0)</f>
        <v>73852</v>
      </c>
      <c r="J85" s="12">
        <f>IFERROR('Cash Flow Data'!J16,0)</f>
        <v>122687</v>
      </c>
      <c r="K85" s="12">
        <f>IFERROR('Cash Flow Data'!K16,0)</f>
        <v>147204</v>
      </c>
      <c r="L85" s="12">
        <f>IFERROR('Cash Flow Data'!L16,0)</f>
        <v>147695</v>
      </c>
    </row>
    <row r="86" spans="2:12" x14ac:dyDescent="0.4">
      <c r="B86" t="s">
        <v>102</v>
      </c>
      <c r="C86" s="12">
        <f>IFERROR('Cash Flow Data'!C17,0)</f>
        <v>1816</v>
      </c>
      <c r="D86" s="12">
        <f>IFERROR('Cash Flow Data'!D17,0)</f>
        <v>1788</v>
      </c>
      <c r="E86" s="12">
        <f>IFERROR('Cash Flow Data'!E17,0)</f>
        <v>2623</v>
      </c>
      <c r="F86" s="12">
        <f>IFERROR('Cash Flow Data'!F17,0)</f>
        <v>2619</v>
      </c>
      <c r="G86" s="12">
        <f>IFERROR('Cash Flow Data'!G17,0)</f>
        <v>3729</v>
      </c>
      <c r="H86" s="12">
        <f>IFERROR('Cash Flow Data'!H17,0)</f>
        <v>2730</v>
      </c>
      <c r="I86" s="12">
        <f>IFERROR('Cash Flow Data'!I17,0)</f>
        <v>2700</v>
      </c>
      <c r="J86" s="12">
        <f>IFERROR('Cash Flow Data'!J17,0)</f>
        <v>3080</v>
      </c>
      <c r="K86" s="12">
        <f>IFERROR('Cash Flow Data'!K17,0)</f>
        <v>2990</v>
      </c>
      <c r="L86" s="12">
        <f>IFERROR('Cash Flow Data'!L17,0)</f>
        <v>3056</v>
      </c>
    </row>
    <row r="87" spans="2:12" x14ac:dyDescent="0.4">
      <c r="B87" t="s">
        <v>103</v>
      </c>
      <c r="C87" s="12">
        <f>IFERROR('Cash Flow Data'!C18,0)</f>
        <v>11</v>
      </c>
      <c r="D87" s="12">
        <f>IFERROR('Cash Flow Data'!D18,0)</f>
        <v>1</v>
      </c>
      <c r="E87" s="12">
        <f>IFERROR('Cash Flow Data'!E18,0)</f>
        <v>9</v>
      </c>
      <c r="F87" s="12">
        <f>IFERROR('Cash Flow Data'!F18,0)</f>
        <v>18</v>
      </c>
      <c r="G87" s="12">
        <f>IFERROR('Cash Flow Data'!G18,0)</f>
        <v>8</v>
      </c>
      <c r="H87" s="12">
        <f>IFERROR('Cash Flow Data'!H18,0)</f>
        <v>8</v>
      </c>
      <c r="I87" s="12">
        <f>IFERROR('Cash Flow Data'!I18,0)</f>
        <v>4</v>
      </c>
      <c r="J87" s="12">
        <f>IFERROR('Cash Flow Data'!J18,0)</f>
        <v>13</v>
      </c>
      <c r="K87" s="12">
        <f>IFERROR('Cash Flow Data'!K18,0)</f>
        <v>26</v>
      </c>
      <c r="L87" s="12">
        <f>IFERROR('Cash Flow Data'!L18,0)</f>
        <v>40</v>
      </c>
    </row>
    <row r="88" spans="2:12" x14ac:dyDescent="0.4">
      <c r="B88" t="s">
        <v>104</v>
      </c>
      <c r="C88" s="12">
        <f>IFERROR('Cash Flow Data'!C19,0)</f>
        <v>0</v>
      </c>
      <c r="D88" s="12">
        <f>IFERROR('Cash Flow Data'!D19,0)</f>
        <v>0</v>
      </c>
      <c r="E88" s="12">
        <f>IFERROR('Cash Flow Data'!E19,0)</f>
        <v>0</v>
      </c>
      <c r="F88" s="12">
        <f>IFERROR('Cash Flow Data'!F19,0)</f>
        <v>-50</v>
      </c>
      <c r="G88" s="12">
        <f>IFERROR('Cash Flow Data'!G19,0)</f>
        <v>0</v>
      </c>
      <c r="H88" s="12">
        <f>IFERROR('Cash Flow Data'!H19,0)</f>
        <v>0</v>
      </c>
      <c r="I88" s="12">
        <f>IFERROR('Cash Flow Data'!I19,0)</f>
        <v>0</v>
      </c>
      <c r="J88" s="12">
        <f>IFERROR('Cash Flow Data'!J19,0)</f>
        <v>0</v>
      </c>
      <c r="K88" s="12">
        <f>IFERROR('Cash Flow Data'!K19,0)</f>
        <v>0</v>
      </c>
      <c r="L88" s="12">
        <f>IFERROR('Cash Flow Data'!L19,0)</f>
        <v>0</v>
      </c>
    </row>
    <row r="89" spans="2:12" x14ac:dyDescent="0.4">
      <c r="B89" t="s">
        <v>105</v>
      </c>
      <c r="C89" s="12">
        <f>IFERROR('Cash Flow Data'!C20,0)</f>
        <v>-1460</v>
      </c>
      <c r="D89" s="12">
        <f>IFERROR('Cash Flow Data'!D20,0)</f>
        <v>1619</v>
      </c>
      <c r="E89" s="12">
        <f>IFERROR('Cash Flow Data'!E20,0)</f>
        <v>-2230</v>
      </c>
      <c r="F89" s="12">
        <f>IFERROR('Cash Flow Data'!F20,0)</f>
        <v>-2927</v>
      </c>
      <c r="G89" s="12">
        <f>IFERROR('Cash Flow Data'!G20,0)</f>
        <v>-473</v>
      </c>
      <c r="H89" s="12">
        <f>IFERROR('Cash Flow Data'!H20,0)</f>
        <v>-3058</v>
      </c>
      <c r="I89" s="12">
        <f>IFERROR('Cash Flow Data'!I20,0)</f>
        <v>4879</v>
      </c>
      <c r="J89" s="12">
        <f>IFERROR('Cash Flow Data'!J20,0)</f>
        <v>5361</v>
      </c>
      <c r="K89" s="12">
        <f>IFERROR('Cash Flow Data'!K20,0)</f>
        <v>846</v>
      </c>
      <c r="L89" s="12">
        <f>IFERROR('Cash Flow Data'!L20,0)</f>
        <v>170</v>
      </c>
    </row>
    <row r="90" spans="2:12" x14ac:dyDescent="0.4">
      <c r="B90" t="s">
        <v>106</v>
      </c>
      <c r="C90" s="12">
        <f>IFERROR('Cash Flow Data'!C21,0)</f>
        <v>16281</v>
      </c>
      <c r="D90" s="12">
        <f>IFERROR('Cash Flow Data'!D21,0)</f>
        <v>275</v>
      </c>
      <c r="E90" s="12">
        <f>IFERROR('Cash Flow Data'!E21,0)</f>
        <v>-1503</v>
      </c>
      <c r="F90" s="12">
        <f>IFERROR('Cash Flow Data'!F21,0)</f>
        <v>-3265</v>
      </c>
      <c r="G90" s="12">
        <f>IFERROR('Cash Flow Data'!G21,0)</f>
        <v>4705</v>
      </c>
      <c r="H90" s="12">
        <f>IFERROR('Cash Flow Data'!H21,0)</f>
        <v>-1665</v>
      </c>
      <c r="I90" s="12">
        <f>IFERROR('Cash Flow Data'!I21,0)</f>
        <v>-3835</v>
      </c>
      <c r="J90" s="12">
        <f>IFERROR('Cash Flow Data'!J21,0)</f>
        <v>2215</v>
      </c>
      <c r="K90" s="12">
        <f>IFERROR('Cash Flow Data'!K21,0)</f>
        <v>-1314</v>
      </c>
      <c r="L90" s="12">
        <f>IFERROR('Cash Flow Data'!L21,0)</f>
        <v>-3229</v>
      </c>
    </row>
    <row r="91" spans="2:12" x14ac:dyDescent="0.4">
      <c r="B91" s="2" t="s">
        <v>119</v>
      </c>
      <c r="C91" s="29">
        <f>IFERROR(SUM(C82:C90),0)</f>
        <v>-5010</v>
      </c>
      <c r="D91" s="29">
        <f t="shared" ref="D91:L91" si="25">IFERROR(SUM(D82:D90),0)</f>
        <v>-16895</v>
      </c>
      <c r="E91" s="29">
        <f t="shared" si="25"/>
        <v>3104</v>
      </c>
      <c r="F91" s="29">
        <f t="shared" si="25"/>
        <v>1645</v>
      </c>
      <c r="G91" s="29">
        <f t="shared" si="25"/>
        <v>8968</v>
      </c>
      <c r="H91" s="29">
        <f t="shared" si="25"/>
        <v>-7956</v>
      </c>
      <c r="I91" s="29">
        <f t="shared" si="25"/>
        <v>-738</v>
      </c>
      <c r="J91" s="29">
        <f t="shared" si="25"/>
        <v>548</v>
      </c>
      <c r="K91" s="29">
        <f t="shared" si="25"/>
        <v>6091</v>
      </c>
      <c r="L91" s="29">
        <f t="shared" si="25"/>
        <v>-2144</v>
      </c>
    </row>
    <row r="93" spans="2:12" x14ac:dyDescent="0.4">
      <c r="B93" s="2" t="s">
        <v>120</v>
      </c>
    </row>
    <row r="94" spans="2:12" x14ac:dyDescent="0.4">
      <c r="B94" t="s">
        <v>108</v>
      </c>
      <c r="C94" s="12">
        <f>IFERROR('Cash Flow Data'!C23,0)</f>
        <v>2</v>
      </c>
      <c r="D94" s="12">
        <f>IFERROR('Cash Flow Data'!D23,0)</f>
        <v>0</v>
      </c>
      <c r="E94" s="12">
        <f>IFERROR('Cash Flow Data'!E23,0)</f>
        <v>0</v>
      </c>
      <c r="F94" s="12">
        <f>IFERROR('Cash Flow Data'!F23,0)</f>
        <v>0</v>
      </c>
      <c r="G94" s="12">
        <f>IFERROR('Cash Flow Data'!G23,0)</f>
        <v>0</v>
      </c>
      <c r="H94" s="12">
        <f>IFERROR('Cash Flow Data'!H23,0)</f>
        <v>0</v>
      </c>
      <c r="I94" s="12">
        <f>IFERROR('Cash Flow Data'!I23,0)</f>
        <v>0</v>
      </c>
      <c r="J94" s="12">
        <f>IFERROR('Cash Flow Data'!J23,0)</f>
        <v>18</v>
      </c>
      <c r="K94" s="12">
        <f>IFERROR('Cash Flow Data'!K23,0)</f>
        <v>425</v>
      </c>
      <c r="L94" s="12">
        <f>IFERROR('Cash Flow Data'!L23,0)</f>
        <v>0</v>
      </c>
    </row>
    <row r="95" spans="2:12" x14ac:dyDescent="0.4">
      <c r="B95" t="s">
        <v>109</v>
      </c>
      <c r="C95" s="12">
        <f>IFERROR('Cash Flow Data'!C24,0)</f>
        <v>0</v>
      </c>
      <c r="D95" s="12">
        <f>IFERROR('Cash Flow Data'!D24,0)</f>
        <v>87</v>
      </c>
      <c r="E95" s="12">
        <f>IFERROR('Cash Flow Data'!E24,0)</f>
        <v>0</v>
      </c>
      <c r="F95" s="12">
        <f>IFERROR('Cash Flow Data'!F24,0)</f>
        <v>0</v>
      </c>
      <c r="G95" s="12">
        <f>IFERROR('Cash Flow Data'!G24,0)</f>
        <v>0</v>
      </c>
      <c r="H95" s="12">
        <f>IFERROR('Cash Flow Data'!H24,0)</f>
        <v>0</v>
      </c>
      <c r="I95" s="12">
        <f>IFERROR('Cash Flow Data'!I24,0)</f>
        <v>0</v>
      </c>
      <c r="J95" s="12">
        <f>IFERROR('Cash Flow Data'!J24,0)</f>
        <v>0</v>
      </c>
      <c r="K95" s="12">
        <f>IFERROR('Cash Flow Data'!K24,0)</f>
        <v>0</v>
      </c>
      <c r="L95" s="12">
        <f>IFERROR('Cash Flow Data'!L24,0)</f>
        <v>0</v>
      </c>
    </row>
    <row r="96" spans="2:12" x14ac:dyDescent="0.4">
      <c r="B96" t="s">
        <v>110</v>
      </c>
      <c r="C96" s="12">
        <f>IFERROR('Cash Flow Data'!C25,0)</f>
        <v>-73</v>
      </c>
      <c r="D96" s="12">
        <f>IFERROR('Cash Flow Data'!D25,0)</f>
        <v>0</v>
      </c>
      <c r="E96" s="12">
        <f>IFERROR('Cash Flow Data'!E25,0)</f>
        <v>-19</v>
      </c>
      <c r="F96" s="12">
        <f>IFERROR('Cash Flow Data'!F25,0)</f>
        <v>-181</v>
      </c>
      <c r="G96" s="12">
        <f>IFERROR('Cash Flow Data'!G25,0)</f>
        <v>0</v>
      </c>
      <c r="H96" s="12">
        <f>IFERROR('Cash Flow Data'!H25,0)</f>
        <v>0</v>
      </c>
      <c r="I96" s="12">
        <f>IFERROR('Cash Flow Data'!I25,0)</f>
        <v>0</v>
      </c>
      <c r="J96" s="12">
        <f>IFERROR('Cash Flow Data'!J25,0)</f>
        <v>0</v>
      </c>
      <c r="K96" s="12">
        <f>IFERROR('Cash Flow Data'!K25,0)</f>
        <v>0</v>
      </c>
      <c r="L96" s="12">
        <f>IFERROR('Cash Flow Data'!L25,0)</f>
        <v>0</v>
      </c>
    </row>
    <row r="97" spans="2:12" x14ac:dyDescent="0.4">
      <c r="B97" t="s">
        <v>111</v>
      </c>
      <c r="C97" s="12">
        <f>IFERROR('Cash Flow Data'!C26,0)</f>
        <v>-20</v>
      </c>
      <c r="D97" s="12">
        <f>IFERROR('Cash Flow Data'!D26,0)</f>
        <v>-20</v>
      </c>
      <c r="E97" s="12">
        <f>IFERROR('Cash Flow Data'!E26,0)</f>
        <v>-40</v>
      </c>
      <c r="F97" s="12">
        <f>IFERROR('Cash Flow Data'!F26,0)</f>
        <v>-186</v>
      </c>
      <c r="G97" s="12">
        <f>IFERROR('Cash Flow Data'!G26,0)</f>
        <v>-924</v>
      </c>
      <c r="H97" s="12">
        <f>IFERROR('Cash Flow Data'!H26,0)</f>
        <v>-634</v>
      </c>
      <c r="I97" s="12">
        <f>IFERROR('Cash Flow Data'!I26,0)</f>
        <v>-698</v>
      </c>
      <c r="J97" s="12">
        <f>IFERROR('Cash Flow Data'!J26,0)</f>
        <v>-779</v>
      </c>
      <c r="K97" s="12">
        <f>IFERROR('Cash Flow Data'!K26,0)</f>
        <v>-699</v>
      </c>
      <c r="L97" s="12">
        <f>IFERROR('Cash Flow Data'!L26,0)</f>
        <v>-840</v>
      </c>
    </row>
    <row r="98" spans="2:12" x14ac:dyDescent="0.4">
      <c r="B98" t="s">
        <v>112</v>
      </c>
      <c r="C98" s="12">
        <f>IFERROR('Cash Flow Data'!C27,0)</f>
        <v>-9515</v>
      </c>
      <c r="D98" s="12">
        <f>IFERROR('Cash Flow Data'!D27,0)</f>
        <v>-10973</v>
      </c>
      <c r="E98" s="12">
        <f>IFERROR('Cash Flow Data'!E27,0)</f>
        <v>-10760</v>
      </c>
      <c r="F98" s="12">
        <f>IFERROR('Cash Flow Data'!F27,0)</f>
        <v>-11472</v>
      </c>
      <c r="G98" s="12">
        <f>IFERROR('Cash Flow Data'!G27,0)</f>
        <v>-37702</v>
      </c>
      <c r="H98" s="12">
        <f>IFERROR('Cash Flow Data'!H27,0)</f>
        <v>-10907</v>
      </c>
      <c r="I98" s="12">
        <f>IFERROR('Cash Flow Data'!I27,0)</f>
        <v>-13375</v>
      </c>
      <c r="J98" s="12">
        <f>IFERROR('Cash Flow Data'!J27,0)</f>
        <v>-41410</v>
      </c>
      <c r="K98" s="12">
        <f>IFERROR('Cash Flow Data'!K27,0)</f>
        <v>-25218</v>
      </c>
      <c r="L98" s="12">
        <f>IFERROR('Cash Flow Data'!L27,0)</f>
        <v>-44962</v>
      </c>
    </row>
    <row r="99" spans="2:12" x14ac:dyDescent="0.4">
      <c r="B99" t="s">
        <v>113</v>
      </c>
      <c r="C99" s="12">
        <f>IFERROR('Cash Flow Data'!C28,0)</f>
        <v>-60</v>
      </c>
      <c r="D99" s="12">
        <f>IFERROR('Cash Flow Data'!D28,0)</f>
        <v>-66</v>
      </c>
      <c r="E99" s="12">
        <f>IFERROR('Cash Flow Data'!E28,0)</f>
        <v>-24</v>
      </c>
      <c r="F99" s="12">
        <f>IFERROR('Cash Flow Data'!F28,0)</f>
        <v>-13</v>
      </c>
      <c r="G99" s="12">
        <f>IFERROR('Cash Flow Data'!G28,0)</f>
        <v>-1062</v>
      </c>
      <c r="H99" s="12">
        <f>IFERROR('Cash Flow Data'!H28,0)</f>
        <v>-1336</v>
      </c>
      <c r="I99" s="12">
        <f>IFERROR('Cash Flow Data'!I28,0)</f>
        <v>-1417</v>
      </c>
      <c r="J99" s="12">
        <f>IFERROR('Cash Flow Data'!J28,0)</f>
        <v>-1515</v>
      </c>
      <c r="K99" s="12">
        <f>IFERROR('Cash Flow Data'!K28,0)</f>
        <v>-1614</v>
      </c>
      <c r="L99" s="12">
        <f>IFERROR('Cash Flow Data'!L28,0)</f>
        <v>-1664</v>
      </c>
    </row>
    <row r="100" spans="2:12" x14ac:dyDescent="0.4">
      <c r="B100" t="s">
        <v>114</v>
      </c>
      <c r="C100" s="12">
        <f>IFERROR('Cash Flow Data'!C29,0)</f>
        <v>0</v>
      </c>
      <c r="D100" s="12">
        <f>IFERROR('Cash Flow Data'!D29,0)</f>
        <v>-54</v>
      </c>
      <c r="E100" s="12">
        <f>IFERROR('Cash Flow Data'!E29,0)</f>
        <v>-16042</v>
      </c>
      <c r="F100" s="12">
        <f>IFERROR('Cash Flow Data'!F29,0)</f>
        <v>-16045</v>
      </c>
      <c r="G100" s="12">
        <f>IFERROR('Cash Flow Data'!G29,0)</f>
        <v>-227</v>
      </c>
      <c r="H100" s="12">
        <f>IFERROR('Cash Flow Data'!H29,0)</f>
        <v>-19757</v>
      </c>
      <c r="I100" s="12">
        <f>IFERROR('Cash Flow Data'!I29,0)</f>
        <v>-18091</v>
      </c>
      <c r="J100" s="12">
        <f>IFERROR('Cash Flow Data'!J29,0)</f>
        <v>-4192</v>
      </c>
      <c r="K100" s="12">
        <f>IFERROR('Cash Flow Data'!K29,0)</f>
        <v>-21430</v>
      </c>
      <c r="L100" s="12">
        <f>IFERROR('Cash Flow Data'!L29,0)</f>
        <v>28</v>
      </c>
    </row>
    <row r="101" spans="2:12" x14ac:dyDescent="0.4">
      <c r="B101" s="2" t="s">
        <v>121</v>
      </c>
      <c r="C101" s="29">
        <f>IFERROR(SUM(C94:C100),0)</f>
        <v>-9666</v>
      </c>
      <c r="D101" s="29">
        <f t="shared" ref="D101:L101" si="26">IFERROR(SUM(D94:D100),0)</f>
        <v>-11026</v>
      </c>
      <c r="E101" s="29">
        <f t="shared" si="26"/>
        <v>-26885</v>
      </c>
      <c r="F101" s="29">
        <f t="shared" si="26"/>
        <v>-27897</v>
      </c>
      <c r="G101" s="29">
        <f t="shared" si="26"/>
        <v>-39915</v>
      </c>
      <c r="H101" s="29">
        <f t="shared" si="26"/>
        <v>-32634</v>
      </c>
      <c r="I101" s="29">
        <f t="shared" si="26"/>
        <v>-33581</v>
      </c>
      <c r="J101" s="29">
        <f t="shared" si="26"/>
        <v>-47878</v>
      </c>
      <c r="K101" s="29">
        <f t="shared" si="26"/>
        <v>-48536</v>
      </c>
      <c r="L101" s="29">
        <f t="shared" si="26"/>
        <v>-47438</v>
      </c>
    </row>
    <row r="103" spans="2:12" x14ac:dyDescent="0.4">
      <c r="B103" s="2" t="s">
        <v>20</v>
      </c>
      <c r="C103" s="29">
        <f>IFERROR((C101+C91+C78),0)</f>
        <v>4464</v>
      </c>
      <c r="D103" s="29">
        <f t="shared" ref="D103:L103" si="27">IFERROR((D101+D91+D78),0)</f>
        <v>-3808</v>
      </c>
      <c r="E103" s="29">
        <f t="shared" si="27"/>
        <v>3261</v>
      </c>
      <c r="F103" s="29">
        <f t="shared" si="27"/>
        <v>1543</v>
      </c>
      <c r="G103" s="29">
        <f t="shared" si="27"/>
        <v>-401</v>
      </c>
      <c r="H103" s="29">
        <f t="shared" si="27"/>
        <v>-1888</v>
      </c>
      <c r="I103" s="29">
        <f t="shared" si="27"/>
        <v>7831</v>
      </c>
      <c r="J103" s="29">
        <f t="shared" si="27"/>
        <v>-3927</v>
      </c>
      <c r="K103" s="29">
        <f t="shared" si="27"/>
        <v>-1025</v>
      </c>
      <c r="L103" s="29">
        <f t="shared" si="27"/>
        <v>-2530</v>
      </c>
    </row>
  </sheetData>
  <mergeCells count="1">
    <mergeCell ref="B2:M2"/>
  </mergeCells>
  <pageMargins left="0.7" right="0.7" top="0.75" bottom="0.75" header="0.3" footer="0.3"/>
  <ignoredErrors>
    <ignoredError sqref="M6 C9:M9 C15 D15:L15 M18 M21 M24 M30" formulaRange="1"/>
  </ignoredErrors>
  <extLst>
    <ext xmlns:x15="http://schemas.microsoft.com/office/spreadsheetml/2010/11/main" uri="{F7C9EE02-42E1-4005-9D12-6889AFFD525C}">
      <x15:webExtensions xmlns:xm="http://schemas.microsoft.com/office/excel/2006/main">
        <x15:webExtension appRef="{6890D9B7-A951-4F3F-B71D-BB9C8F62F3B9}">
          <xm:f>#REF!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D904-CD73-43A4-ADB8-9A07A29C3FDB}">
  <dimension ref="B2:O41"/>
  <sheetViews>
    <sheetView showGridLines="0" workbookViewId="0">
      <pane ySplit="3" topLeftCell="A13" activePane="bottomLeft" state="frozen"/>
      <selection pane="bottomLeft" activeCell="N23" sqref="N23"/>
    </sheetView>
  </sheetViews>
  <sheetFormatPr defaultRowHeight="14.6" x14ac:dyDescent="0.4"/>
  <cols>
    <col min="1" max="1" width="1.84375" customWidth="1"/>
    <col min="2" max="2" width="24.07421875" style="8" bestFit="1" customWidth="1"/>
    <col min="3" max="12" width="10.69140625" customWidth="1"/>
    <col min="13" max="13" width="13" customWidth="1"/>
    <col min="14" max="14" width="9.23046875" bestFit="1" customWidth="1"/>
  </cols>
  <sheetData>
    <row r="2" spans="2:15" x14ac:dyDescent="0.4">
      <c r="B2" s="128" t="str">
        <f>"Ratio Analysis-"&amp;'Data Sheet'!B1</f>
        <v>Ratio Analysis-TATA CONSULTANCY SERVICES LTD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2:15" x14ac:dyDescent="0.4">
      <c r="B3" s="27" t="s">
        <v>56</v>
      </c>
      <c r="C3" s="11">
        <f>'Data Sheet'!B16</f>
        <v>42460</v>
      </c>
      <c r="D3" s="11">
        <f>'Data Sheet'!C16</f>
        <v>42825</v>
      </c>
      <c r="E3" s="11">
        <f>'Data Sheet'!D16</f>
        <v>43190</v>
      </c>
      <c r="F3" s="11">
        <f>'Data Sheet'!E16</f>
        <v>43555</v>
      </c>
      <c r="G3" s="11">
        <f>'Data Sheet'!F16</f>
        <v>43921</v>
      </c>
      <c r="H3" s="11">
        <f>'Data Sheet'!G16</f>
        <v>44286</v>
      </c>
      <c r="I3" s="11">
        <f>'Data Sheet'!H16</f>
        <v>44651</v>
      </c>
      <c r="J3" s="11">
        <f>'Data Sheet'!I16</f>
        <v>45016</v>
      </c>
      <c r="K3" s="11">
        <f>'Data Sheet'!J16</f>
        <v>45382</v>
      </c>
      <c r="L3" s="11">
        <f>'Data Sheet'!K16</f>
        <v>45747</v>
      </c>
      <c r="M3" s="46" t="s">
        <v>152</v>
      </c>
      <c r="N3" s="11" t="s">
        <v>150</v>
      </c>
      <c r="O3" s="11" t="s">
        <v>151</v>
      </c>
    </row>
    <row r="4" spans="2:15" x14ac:dyDescent="0.4"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15" x14ac:dyDescent="0.4">
      <c r="B5" s="8" t="s">
        <v>122</v>
      </c>
      <c r="C5" s="26"/>
      <c r="D5" s="26">
        <f>IFERROR(HistoricalFS!D7,0)</f>
        <v>8.578318575925481E-2</v>
      </c>
      <c r="E5" s="26">
        <f>IFERROR(HistoricalFS!E7,0)</f>
        <v>4.3554922604818413E-2</v>
      </c>
      <c r="F5" s="26">
        <f>IFERROR(HistoricalFS!F7,0)</f>
        <v>0.18975012997140639</v>
      </c>
      <c r="G5" s="26">
        <f>IFERROR(HistoricalFS!G7,0)</f>
        <v>7.1594873790650215E-2</v>
      </c>
      <c r="H5" s="26">
        <f>IFERROR(HistoricalFS!H7,0)</f>
        <v>4.6053176509566862E-2</v>
      </c>
      <c r="I5" s="26">
        <f>IFERROR(HistoricalFS!I7,0)</f>
        <v>0.1679711530847805</v>
      </c>
      <c r="J5" s="26">
        <f>IFERROR(HistoricalFS!J7,0)</f>
        <v>0.17576686796624852</v>
      </c>
      <c r="K5" s="26">
        <f>IFERROR(HistoricalFS!K7,0)</f>
        <v>6.8460644554639849E-2</v>
      </c>
      <c r="L5" s="26">
        <f>IFERROR(HistoricalFS!L7,0)</f>
        <v>5.9906265437351891E-2</v>
      </c>
      <c r="N5" s="26">
        <f>IFERROR(AVERAGE(D5:L5),0)</f>
        <v>0.10098235774207971</v>
      </c>
      <c r="O5" s="36">
        <f>IFERROR(MEDIAN(D5:L5),0)</f>
        <v>7.1594873790650215E-2</v>
      </c>
    </row>
    <row r="6" spans="2:15" x14ac:dyDescent="0.4">
      <c r="B6" s="8" t="s">
        <v>123</v>
      </c>
      <c r="C6" s="26"/>
      <c r="D6" s="26">
        <f>IFERROR((HistoricalFS!D18/HistoricalFS!C18-1),0)</f>
        <v>5.3264660820810272E-2</v>
      </c>
      <c r="E6" s="26">
        <f>IFERROR((HistoricalFS!E18/HistoricalFS!D18-1),0)</f>
        <v>6.3445885302217953E-3</v>
      </c>
      <c r="F6" s="26">
        <f>IFERROR((HistoricalFS!F18/HistoricalFS!E18-1),0)</f>
        <v>0.21497109115512369</v>
      </c>
      <c r="G6" s="26">
        <f>IFERROR((HistoricalFS!G18/HistoricalFS!F18-1),0)</f>
        <v>6.5888725763175282E-2</v>
      </c>
      <c r="H6" s="26">
        <f>IFERROR((HistoricalFS!H18/HistoricalFS!G18-1),0)</f>
        <v>0.10536939846588611</v>
      </c>
      <c r="I6" s="26">
        <f>IFERROR((HistoricalFS!I18/HistoricalFS!H18-1),0)</f>
        <v>0.13988312636961275</v>
      </c>
      <c r="J6" s="26">
        <f>IFERROR((HistoricalFS!J18/HistoricalFS!I18-1),0)</f>
        <v>0.11689315264715305</v>
      </c>
      <c r="K6" s="26">
        <f>IFERROR((HistoricalFS!K18/HistoricalFS!J18-1),0)</f>
        <v>8.4999746873892557E-2</v>
      </c>
      <c r="L6" s="26">
        <f>IFERROR((HistoricalFS!L18/HistoricalFS!K18-1),0)</f>
        <v>4.8385591638671066E-2</v>
      </c>
      <c r="N6" s="26">
        <f t="shared" ref="N6:N9" si="0">IFERROR(AVERAGE(D6:L6),0)</f>
        <v>9.2888898029394068E-2</v>
      </c>
      <c r="O6" s="36">
        <f t="shared" ref="O6:O9" si="1">IFERROR(MEDIAN(D6:L6),0)</f>
        <v>8.4999746873892557E-2</v>
      </c>
    </row>
    <row r="7" spans="2:15" x14ac:dyDescent="0.4">
      <c r="B7" s="8" t="s">
        <v>124</v>
      </c>
      <c r="C7" s="26"/>
      <c r="D7" s="26">
        <f>IFERROR((HistoricalFS!D27/HistoricalFS!C27-1),0)</f>
        <v>5.3414939490888935E-2</v>
      </c>
      <c r="E7" s="26">
        <f>IFERROR((HistoricalFS!E27/HistoricalFS!D27-1),0)</f>
        <v>5.2158985870855989E-3</v>
      </c>
      <c r="F7" s="26">
        <f>IFERROR((HistoricalFS!F27/HistoricalFS!E27-1),0)</f>
        <v>0.22338259441707708</v>
      </c>
      <c r="G7" s="26">
        <f>IFERROR((HistoricalFS!G27/HistoricalFS!F27-1),0)</f>
        <v>1.0845055299044448E-2</v>
      </c>
      <c r="H7" s="26">
        <f>IFERROR((HistoricalFS!H27/HistoricalFS!G27-1),0)</f>
        <v>0.11121733588272775</v>
      </c>
      <c r="I7" s="26">
        <f>IFERROR((HistoricalFS!I27/HistoricalFS!H27-1),0)</f>
        <v>0.13920753274065567</v>
      </c>
      <c r="J7" s="26">
        <f>IFERROR((HistoricalFS!J27/HistoricalFS!I27-1),0)</f>
        <v>0.12144160775346657</v>
      </c>
      <c r="K7" s="26">
        <f>IFERROR((HistoricalFS!K27/HistoricalFS!J27-1),0)</f>
        <v>9.4934340977963938E-2</v>
      </c>
      <c r="L7" s="26">
        <f>IFERROR((HistoricalFS!L27/HistoricalFS!K27-1),0)</f>
        <v>4.8451300975518086E-2</v>
      </c>
      <c r="N7" s="26">
        <f t="shared" si="0"/>
        <v>8.9790067347158678E-2</v>
      </c>
      <c r="O7" s="36">
        <f t="shared" si="1"/>
        <v>9.4934340977963938E-2</v>
      </c>
    </row>
    <row r="8" spans="2:15" x14ac:dyDescent="0.4">
      <c r="B8" s="8" t="s">
        <v>125</v>
      </c>
      <c r="C8" s="26"/>
      <c r="D8" s="26">
        <f>IFERROR((HistoricalFS!D33/HistoricalFS!C33-1),0)</f>
        <v>4.1498070951350385E-2</v>
      </c>
      <c r="E8" s="26">
        <f>IFERROR((HistoricalFS!E33/HistoricalFS!D33-1),0)</f>
        <v>4.6078785688470347E-3</v>
      </c>
      <c r="F8" s="26">
        <f>IFERROR((HistoricalFS!F33/HistoricalFS!E33-1),0)</f>
        <v>0.22542494828671633</v>
      </c>
      <c r="G8" s="26">
        <f>IFERROR((HistoricalFS!G33/HistoricalFS!F33-1),0)</f>
        <v>2.2164324244981826E-2</v>
      </c>
      <c r="H8" s="26">
        <f>IFERROR((HistoricalFS!H33/HistoricalFS!G33-1),0)</f>
        <v>0.10019745108598088</v>
      </c>
      <c r="I8" s="26">
        <f>IFERROR((HistoricalFS!I33/HistoricalFS!H33-1),0)</f>
        <v>0.12350714612021152</v>
      </c>
      <c r="J8" s="26">
        <f>IFERROR((HistoricalFS!J33/HistoricalFS!I33-1),0)</f>
        <v>0.12845981818709884</v>
      </c>
      <c r="K8" s="26">
        <f>IFERROR((HistoricalFS!K33/HistoricalFS!J33-1),0)</f>
        <v>9.7313017964688386E-2</v>
      </c>
      <c r="L8" s="26">
        <f>IFERROR((HistoricalFS!L33/HistoricalFS!K33-1),0)</f>
        <v>5.1600797466869963E-2</v>
      </c>
      <c r="N8" s="26">
        <f t="shared" si="0"/>
        <v>8.830816143074946E-2</v>
      </c>
      <c r="O8" s="36">
        <f t="shared" si="1"/>
        <v>9.7313017964688386E-2</v>
      </c>
    </row>
    <row r="9" spans="2:15" x14ac:dyDescent="0.4">
      <c r="B9" s="8" t="s">
        <v>126</v>
      </c>
      <c r="C9" s="26"/>
      <c r="D9" s="26">
        <f>IFERROR((HistoricalFS!D41/HistoricalFS!C41-1),0)</f>
        <v>8.0459770114942541E-2</v>
      </c>
      <c r="E9" s="26">
        <f>IFERROR((HistoricalFS!E41/HistoricalFS!D41-1),0)</f>
        <v>6.1682618509651066E-2</v>
      </c>
      <c r="F9" s="26">
        <f>IFERROR((HistoricalFS!F41/HistoricalFS!E41-1),0)</f>
        <v>0.20193233398687682</v>
      </c>
      <c r="G9" s="26">
        <f>IFERROR((HistoricalFS!G41/HistoricalFS!F41-1),0)</f>
        <v>1.4333333333333331</v>
      </c>
      <c r="H9" s="26">
        <f>IFERROR((HistoricalFS!H41/HistoricalFS!G41-1),0)</f>
        <v>-0.4789921724758669</v>
      </c>
      <c r="I9" s="26">
        <f>IFERROR((HistoricalFS!I41/HistoricalFS!H41-1),0)</f>
        <v>0.13158195629338221</v>
      </c>
      <c r="J9" s="26">
        <f>IFERROR((HistoricalFS!J41/HistoricalFS!I41-1),0)</f>
        <v>1.6744186046511627</v>
      </c>
      <c r="K9" s="26">
        <f>IFERROR((HistoricalFS!K41/HistoricalFS!J41-1),0)</f>
        <v>-0.36504021920516316</v>
      </c>
      <c r="L9" s="26">
        <f>IFERROR((HistoricalFS!L41/HistoricalFS!K41-1),0)</f>
        <v>0.72602739726027399</v>
      </c>
      <c r="N9" s="26">
        <f t="shared" si="0"/>
        <v>0.3850448469409547</v>
      </c>
      <c r="O9" s="36">
        <f t="shared" si="1"/>
        <v>0.13158195629338221</v>
      </c>
    </row>
    <row r="10" spans="2:15" x14ac:dyDescent="0.4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30"/>
      <c r="N10" s="30"/>
      <c r="O10" s="30"/>
    </row>
    <row r="11" spans="2:15" x14ac:dyDescent="0.4">
      <c r="B11" s="8" t="s">
        <v>71</v>
      </c>
      <c r="C11" s="26">
        <f>IFERROR(HistoricalFS!C13,0)</f>
        <v>0.46690168068773819</v>
      </c>
      <c r="D11" s="26">
        <f>IFERROR(HistoricalFS!D13,0)</f>
        <v>0.45383415560415713</v>
      </c>
      <c r="E11" s="26">
        <f>IFERROR(HistoricalFS!E13,0)</f>
        <v>0.4387184819339745</v>
      </c>
      <c r="F11" s="26">
        <f>IFERROR(HistoricalFS!F13,0)</f>
        <v>0.45026388917337484</v>
      </c>
      <c r="G11" s="26">
        <f>IFERROR(HistoricalFS!G13,0)</f>
        <v>0.4402194343385431</v>
      </c>
      <c r="H11" s="26">
        <f>IFERROR(HistoricalFS!H13,0)</f>
        <v>0.43185708107713017</v>
      </c>
      <c r="I11" s="26">
        <f>IFERROR(HistoricalFS!I13,0)</f>
        <v>0.43303920648330674</v>
      </c>
      <c r="J11" s="26">
        <f>IFERROR(HistoricalFS!J13,0)</f>
        <v>0.42604387513417136</v>
      </c>
      <c r="K11" s="26">
        <f>IFERROR(HistoricalFS!K13,0)</f>
        <v>0.40291747788437188</v>
      </c>
      <c r="L11" s="26">
        <f>IFERROR(HistoricalFS!L13,0)</f>
        <v>0.38338738230640285</v>
      </c>
      <c r="N11" s="26">
        <f>IFERROR(AVERAGE(C11:L11),0)</f>
        <v>0.43271826646231715</v>
      </c>
      <c r="O11" s="36">
        <f>IFERROR(MEDIAN(C11:L11),0)</f>
        <v>0.43587884420864065</v>
      </c>
    </row>
    <row r="12" spans="2:15" x14ac:dyDescent="0.4">
      <c r="B12" s="8" t="s">
        <v>127</v>
      </c>
      <c r="C12" s="26">
        <f>IFERROR(HistoricalFS!C19,0)</f>
        <v>0.28235738085157303</v>
      </c>
      <c r="D12" s="26">
        <f>IFERROR(HistoricalFS!D19,0)</f>
        <v>0.27390095451231711</v>
      </c>
      <c r="E12" s="26">
        <f>IFERROR(HistoricalFS!E19,0)</f>
        <v>0.26413439043410447</v>
      </c>
      <c r="F12" s="26">
        <f>IFERROR(HistoricalFS!F19,0)</f>
        <v>0.26973365286795981</v>
      </c>
      <c r="G12" s="26">
        <f>IFERROR(HistoricalFS!G19,0)</f>
        <v>0.26829734499741953</v>
      </c>
      <c r="H12" s="26">
        <f>IFERROR(HistoricalFS!H19,0)</f>
        <v>0.28351108864213626</v>
      </c>
      <c r="I12" s="26">
        <f>IFERROR(HistoricalFS!I19,0)</f>
        <v>0.27669305464292793</v>
      </c>
      <c r="J12" s="26">
        <f>IFERROR(HistoricalFS!J19,0)</f>
        <v>0.26283831134845514</v>
      </c>
      <c r="K12" s="26">
        <f>IFERROR(HistoricalFS!K19,0)</f>
        <v>0.26690688396923118</v>
      </c>
      <c r="L12" s="26">
        <f>IFERROR(HistoricalFS!L19,0)</f>
        <v>0.26400573389105608</v>
      </c>
      <c r="N12" s="26">
        <f t="shared" ref="N12:N15" si="2">IFERROR(AVERAGE(C12:L12),0)</f>
        <v>0.27123787961571805</v>
      </c>
      <c r="O12" s="36">
        <f t="shared" ref="O12:O15" si="3">IFERROR(MEDIAN(C12:L12),0)</f>
        <v>0.26901549893268967</v>
      </c>
    </row>
    <row r="13" spans="2:15" x14ac:dyDescent="0.4">
      <c r="B13" s="8" t="s">
        <v>128</v>
      </c>
      <c r="C13" s="26">
        <f>IFERROR(((HistoricalFS!C18-HistoricalFS!C24)/HistoricalFS!C6),0)</f>
        <v>0.26497984279218745</v>
      </c>
      <c r="D13" s="26">
        <f>IFERROR(((HistoricalFS!D18-HistoricalFS!D24)/HistoricalFS!D6),0)</f>
        <v>0.25705711815268806</v>
      </c>
      <c r="E13" s="26">
        <f>IFERROR(((HistoricalFS!E18-HistoricalFS!E24)/HistoricalFS!E6),0)</f>
        <v>0.24777423966727319</v>
      </c>
      <c r="F13" s="26">
        <f>IFERROR(((HistoricalFS!F18-HistoricalFS!F24)/HistoricalFS!F6),0)</f>
        <v>0.2556959778237507</v>
      </c>
      <c r="G13" s="26">
        <f>IFERROR(((HistoricalFS!G18-HistoricalFS!G24)/HistoricalFS!G6),0)</f>
        <v>0.24581233394287316</v>
      </c>
      <c r="H13" s="26">
        <f>IFERROR(((HistoricalFS!H18-HistoricalFS!H24)/HistoricalFS!H6),0)</f>
        <v>0.25875122581116722</v>
      </c>
      <c r="I13" s="26">
        <f>IFERROR(((HistoricalFS!I18-HistoricalFS!I24)/HistoricalFS!I6),0)</f>
        <v>0.25268312525423198</v>
      </c>
      <c r="J13" s="26">
        <f>IFERROR(((HistoricalFS!J18-HistoricalFS!J24)/HistoricalFS!J6),0)</f>
        <v>0.24056365265370933</v>
      </c>
      <c r="K13" s="26">
        <f>IFERROR(((HistoricalFS!K18-HistoricalFS!K24)/HistoricalFS!K6),0)</f>
        <v>0.24621304894704288</v>
      </c>
      <c r="L13" s="26">
        <f>IFERROR(((HistoricalFS!L18-HistoricalFS!L24)/HistoricalFS!L6),0)</f>
        <v>0.24347495730914445</v>
      </c>
      <c r="N13" s="26">
        <f t="shared" si="2"/>
        <v>0.25130055223540682</v>
      </c>
      <c r="O13" s="36">
        <f t="shared" si="3"/>
        <v>0.25022868246075258</v>
      </c>
    </row>
    <row r="14" spans="2:15" x14ac:dyDescent="0.4">
      <c r="B14" s="8" t="s">
        <v>129</v>
      </c>
      <c r="C14" s="26">
        <f>IFERROR(HistoricalFS!C28,0)</f>
        <v>0.26467610404432745</v>
      </c>
      <c r="D14" s="26">
        <f>IFERROR(HistoricalFS!D28,0)</f>
        <v>0.25678585355102318</v>
      </c>
      <c r="E14" s="26">
        <f>IFERROR(HistoricalFS!E28,0)</f>
        <v>0.24735183259682869</v>
      </c>
      <c r="F14" s="26">
        <f>IFERROR(HistoricalFS!F28,0)</f>
        <v>0.25434410055782009</v>
      </c>
      <c r="G14" s="26">
        <f>IFERROR(HistoricalFS!G28,0)</f>
        <v>0.23992507120147308</v>
      </c>
      <c r="H14" s="26">
        <f>IFERROR(HistoricalFS!H28,0)</f>
        <v>0.25487126698624046</v>
      </c>
      <c r="I14" s="26">
        <f>IFERROR(HistoricalFS!I28,0)</f>
        <v>0.24859455343825942</v>
      </c>
      <c r="J14" s="26">
        <f>IFERROR(HistoricalFS!J28,0)</f>
        <v>0.23710846366063745</v>
      </c>
      <c r="K14" s="26">
        <f>IFERROR(HistoricalFS!K28,0)</f>
        <v>0.24298339926855492</v>
      </c>
      <c r="L14" s="26">
        <f>IFERROR(HistoricalFS!L28,0)</f>
        <v>0.24035734987701901</v>
      </c>
      <c r="N14" s="26">
        <f t="shared" si="2"/>
        <v>0.24869979951821836</v>
      </c>
      <c r="O14" s="36">
        <f t="shared" si="3"/>
        <v>0.24797319301754406</v>
      </c>
    </row>
    <row r="15" spans="2:15" x14ac:dyDescent="0.4">
      <c r="B15" s="8" t="s">
        <v>76</v>
      </c>
      <c r="C15" s="26">
        <f>IFERROR(HistoricalFS!C34,0)</f>
        <v>0.19562616203081568</v>
      </c>
      <c r="D15" s="26">
        <f>IFERROR(HistoricalFS!D34,0)</f>
        <v>0.18764728820168522</v>
      </c>
      <c r="E15" s="26">
        <f>IFERROR(HistoricalFS!E34,0)</f>
        <v>0.18064400831817001</v>
      </c>
      <c r="F15" s="26">
        <f>IFERROR(HistoricalFS!F34,0)</f>
        <v>0.18606064330240402</v>
      </c>
      <c r="G15" s="26">
        <f>IFERROR(HistoricalFS!G34,0)</f>
        <v>0.17747803426590802</v>
      </c>
      <c r="H15" s="26">
        <f>IFERROR(HistoricalFS!H34,0)</f>
        <v>0.1866643926981246</v>
      </c>
      <c r="I15" s="26">
        <f>IFERROR(HistoricalFS!I34,0)</f>
        <v>0.17955818392315154</v>
      </c>
      <c r="J15" s="26">
        <f>IFERROR(HistoricalFS!J34,0)</f>
        <v>0.17233364972633483</v>
      </c>
      <c r="K15" s="26">
        <f>IFERROR(HistoricalFS!K34,0)</f>
        <v>0.17698729311354003</v>
      </c>
      <c r="L15" s="26">
        <f>IFERROR(HistoricalFS!L34,0)</f>
        <v>0.17560041359214176</v>
      </c>
      <c r="N15" s="26">
        <f t="shared" si="2"/>
        <v>0.18186000691722759</v>
      </c>
      <c r="O15" s="36">
        <f t="shared" si="3"/>
        <v>0.18010109612066078</v>
      </c>
    </row>
    <row r="16" spans="2:15" x14ac:dyDescent="0.4"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30"/>
      <c r="N16" s="30"/>
      <c r="O16" s="30"/>
    </row>
    <row r="17" spans="2:15" x14ac:dyDescent="0.4">
      <c r="B17" s="8" t="s">
        <v>130</v>
      </c>
      <c r="C17" s="26">
        <f>IFERROR(HistoricalFS!C16,0)</f>
        <v>0.18454429983616516</v>
      </c>
      <c r="D17" s="26">
        <f>IFERROR(HistoricalFS!D16,0)</f>
        <v>0.17993320109184002</v>
      </c>
      <c r="E17" s="26">
        <f>IFERROR(HistoricalFS!E16,0)</f>
        <v>0.17458409149987003</v>
      </c>
      <c r="F17" s="26">
        <f>IFERROR(HistoricalFS!F16,0)</f>
        <v>0.18053023630541501</v>
      </c>
      <c r="G17" s="26">
        <f>IFERROR(HistoricalFS!G16,0)</f>
        <v>0.17192208934112355</v>
      </c>
      <c r="H17" s="26">
        <f>IFERROR(HistoricalFS!H16,0)</f>
        <v>0.14834599243499394</v>
      </c>
      <c r="I17" s="26">
        <f>IFERROR(HistoricalFS!I16,0)</f>
        <v>0.15634615184037881</v>
      </c>
      <c r="J17" s="26">
        <f>IFERROR(HistoricalFS!J16,0)</f>
        <v>0.16320556378571618</v>
      </c>
      <c r="K17" s="26">
        <f>IFERROR(HistoricalFS!K16,0)</f>
        <v>0.13601059391514075</v>
      </c>
      <c r="L17" s="26">
        <f>IFERROR(HistoricalFS!L16,0)</f>
        <v>0.11938164841534678</v>
      </c>
      <c r="N17" s="26">
        <f>IFERROR(AVERAGE(C17:L17),0)</f>
        <v>0.16148038684659902</v>
      </c>
      <c r="O17" s="36">
        <f>IFERROR(MEDIAN(C17:L17),0)</f>
        <v>0.16756382656341987</v>
      </c>
    </row>
    <row r="18" spans="2:15" x14ac:dyDescent="0.4">
      <c r="B18" s="8" t="s">
        <v>67</v>
      </c>
      <c r="C18" s="26">
        <f>IFERROR(HistoricalFS!C25,0)</f>
        <v>1.7377538059385526E-2</v>
      </c>
      <c r="D18" s="26">
        <f>IFERROR(HistoricalFS!D25,0)</f>
        <v>1.6843836359629046E-2</v>
      </c>
      <c r="E18" s="26">
        <f>IFERROR(HistoricalFS!E25,0)</f>
        <v>1.6360150766831297E-2</v>
      </c>
      <c r="F18" s="26">
        <f>IFERROR(HistoricalFS!F25,0)</f>
        <v>1.4037675044209118E-2</v>
      </c>
      <c r="G18" s="26">
        <f>IFERROR(HistoricalFS!G25,0)</f>
        <v>2.248501105454638E-2</v>
      </c>
      <c r="H18" s="26">
        <f>IFERROR(HistoricalFS!H25,0)</f>
        <v>2.4759862830969016E-2</v>
      </c>
      <c r="I18" s="26">
        <f>IFERROR(HistoricalFS!I25,0)</f>
        <v>2.4009929388695932E-2</v>
      </c>
      <c r="J18" s="26">
        <f>IFERROR(HistoricalFS!J25,0)</f>
        <v>2.2274658694745805E-2</v>
      </c>
      <c r="K18" s="26">
        <f>IFERROR(HistoricalFS!K25,0)</f>
        <v>2.0693835022188273E-2</v>
      </c>
      <c r="L18" s="26">
        <f>IFERROR(HistoricalFS!L25,0)</f>
        <v>2.053077658191161E-2</v>
      </c>
      <c r="N18" s="26">
        <f t="shared" ref="N18:N19" si="4">IFERROR(AVERAGE(C18:L18),0)</f>
        <v>1.99373273803112E-2</v>
      </c>
      <c r="O18" s="36">
        <f t="shared" ref="O18:O31" si="5">IFERROR(MEDIAN(C18:L18),0)</f>
        <v>2.0612305802049941E-2</v>
      </c>
    </row>
    <row r="19" spans="2:15" x14ac:dyDescent="0.4">
      <c r="B19" s="8" t="s">
        <v>131</v>
      </c>
      <c r="C19" s="26">
        <f>C13</f>
        <v>0.26497984279218745</v>
      </c>
      <c r="D19" s="26">
        <f t="shared" ref="D19:L19" si="6">D13</f>
        <v>0.25705711815268806</v>
      </c>
      <c r="E19" s="26">
        <f t="shared" si="6"/>
        <v>0.24777423966727319</v>
      </c>
      <c r="F19" s="26">
        <f t="shared" si="6"/>
        <v>0.2556959778237507</v>
      </c>
      <c r="G19" s="26">
        <f t="shared" si="6"/>
        <v>0.24581233394287316</v>
      </c>
      <c r="H19" s="26">
        <f t="shared" si="6"/>
        <v>0.25875122581116722</v>
      </c>
      <c r="I19" s="26">
        <f t="shared" si="6"/>
        <v>0.25268312525423198</v>
      </c>
      <c r="J19" s="26">
        <f t="shared" si="6"/>
        <v>0.24056365265370933</v>
      </c>
      <c r="K19" s="26">
        <f t="shared" si="6"/>
        <v>0.24621304894704288</v>
      </c>
      <c r="L19" s="26">
        <f t="shared" si="6"/>
        <v>0.24347495730914445</v>
      </c>
      <c r="N19" s="26">
        <f t="shared" si="4"/>
        <v>0.25130055223540682</v>
      </c>
      <c r="O19" s="36">
        <f t="shared" si="5"/>
        <v>0.25022868246075258</v>
      </c>
    </row>
    <row r="20" spans="2:15" x14ac:dyDescent="0.4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30"/>
      <c r="N20" s="30"/>
      <c r="O20" s="30"/>
    </row>
    <row r="21" spans="2:15" x14ac:dyDescent="0.4">
      <c r="B21" s="8" t="s">
        <v>132</v>
      </c>
      <c r="C21" s="26">
        <f>IFERROR((HistoricalFS!C18-HistoricalFS!C24)/(SUM(HistoricalFS!C47:C48)+HistoricalFS!C49),0)</f>
        <v>0.40367654275979081</v>
      </c>
      <c r="D21" s="26">
        <f>IFERROR((HistoricalFS!D18-HistoricalFS!D24)/(SUM(HistoricalFS!D47:D48)+HistoricalFS!D49),0)</f>
        <v>0.35055431603528203</v>
      </c>
      <c r="E21" s="26">
        <f>IFERROR((HistoricalFS!E18-HistoricalFS!E24)/(SUM(HistoricalFS!E47:E48)+HistoricalFS!E49),0)</f>
        <v>0.35727086383601758</v>
      </c>
      <c r="F21" s="26">
        <f>IFERROR((HistoricalFS!F18-HistoricalFS!F24)/(SUM(HistoricalFS!F47:F48)+HistoricalFS!F49),0)</f>
        <v>0.41839835545426107</v>
      </c>
      <c r="G21" s="26">
        <f>IFERROR((HistoricalFS!G18-HistoricalFS!G24)/(SUM(HistoricalFS!G47:G48)+HistoricalFS!G49),0)</f>
        <v>0.41798483206933912</v>
      </c>
      <c r="H21" s="26">
        <f>IFERROR((HistoricalFS!H18-HistoricalFS!H24)/(SUM(HistoricalFS!H47:H48)+HistoricalFS!H49),0)</f>
        <v>0.4508320244513308</v>
      </c>
      <c r="I21" s="26">
        <f>IFERROR((HistoricalFS!I18-HistoricalFS!I24)/(SUM(HistoricalFS!I47:I48)+HistoricalFS!I49),0)</f>
        <v>0.4997369968130202</v>
      </c>
      <c r="J21" s="26">
        <f>IFERROR((HistoricalFS!J18-HistoricalFS!J24)/(SUM(HistoricalFS!J47:J48)+HistoricalFS!J49),0)</f>
        <v>0.55280699608610573</v>
      </c>
      <c r="K21" s="26">
        <f>IFERROR((HistoricalFS!K18-HistoricalFS!K24)/(SUM(HistoricalFS!K47:K48)+HistoricalFS!K49),0)</f>
        <v>0.60208100700436507</v>
      </c>
      <c r="L21" s="26">
        <f>IFERROR((HistoricalFS!L18-HistoricalFS!L24)/(SUM(HistoricalFS!L47:L48)+HistoricalFS!L49),0)</f>
        <v>0.59689096286054466</v>
      </c>
      <c r="N21" s="26">
        <f>IFERROR(AVERAGE(C21:L21),0)</f>
        <v>0.46502328973700563</v>
      </c>
      <c r="O21" s="35">
        <f t="shared" si="5"/>
        <v>0.43461518995279591</v>
      </c>
    </row>
    <row r="22" spans="2:15" x14ac:dyDescent="0.4">
      <c r="B22" s="8" t="s">
        <v>133</v>
      </c>
      <c r="C22" s="26">
        <f>IFERROR(HistoricalFS!C44,0)</f>
        <v>0.59680530723628489</v>
      </c>
      <c r="D22" s="26">
        <f>IFERROR(HistoricalFS!D44,0)</f>
        <v>0.58172208167690642</v>
      </c>
      <c r="E22" s="26">
        <f>IFERROR(HistoricalFS!E44,0)</f>
        <v>0.57055490601672809</v>
      </c>
      <c r="F22" s="26">
        <f>IFERROR(HistoricalFS!F44,0)</f>
        <v>0.58717111298667946</v>
      </c>
      <c r="G22" s="26">
        <f>IFERROR(HistoricalFS!G44,0)</f>
        <v>1.7232094776521323E-2</v>
      </c>
      <c r="H22" s="26">
        <f>IFERROR(HistoricalFS!H44,0)</f>
        <v>0.54121255628793308</v>
      </c>
      <c r="I22" s="26">
        <f>IFERROR(HistoricalFS!I44,0)</f>
        <v>0.54291191077807788</v>
      </c>
      <c r="J22" s="26">
        <f>IFERROR(HistoricalFS!J44,0)</f>
        <v>0</v>
      </c>
      <c r="K22" s="26">
        <f>IFERROR(HistoricalFS!K44,0)</f>
        <v>0.38018060279113408</v>
      </c>
      <c r="L22" s="26">
        <f>IFERROR(HistoricalFS!L44,0)</f>
        <v>0</v>
      </c>
      <c r="N22" s="26">
        <f t="shared" ref="N22:N25" si="7">IFERROR(AVERAGE(C22:L22),0)</f>
        <v>0.38177905725502648</v>
      </c>
      <c r="O22" s="35">
        <f t="shared" si="5"/>
        <v>0.54206223353300542</v>
      </c>
    </row>
    <row r="23" spans="2:15" x14ac:dyDescent="0.4">
      <c r="B23" s="8" t="s">
        <v>134</v>
      </c>
      <c r="C23" s="26">
        <f>IFERROR(HistoricalFS!C33/(SUM(HistoricalFS!C47:C48)),0)</f>
        <v>0.2990488518685277</v>
      </c>
      <c r="D23" s="26">
        <f>IFERROR(HistoricalFS!D33/(SUM(HistoricalFS!D47:D48)),0)</f>
        <v>0.25675644326907465</v>
      </c>
      <c r="E23" s="26">
        <f>IFERROR(HistoricalFS!E33/(SUM(HistoricalFS!E47:E48)),0)</f>
        <v>0.26123014754252422</v>
      </c>
      <c r="F23" s="26">
        <f>IFERROR(HistoricalFS!F33/(SUM(HistoricalFS!F47:F48)),0)</f>
        <v>0.30466426670840507</v>
      </c>
      <c r="G23" s="26">
        <f>IFERROR(HistoricalFS!G33/(SUM(HistoricalFS!G47:G48)),0)</f>
        <v>0.33111047714143071</v>
      </c>
      <c r="H23" s="26">
        <f>IFERROR(HistoricalFS!H33/(SUM(HistoricalFS!H47:H48)),0)</f>
        <v>0.35456365045757987</v>
      </c>
      <c r="I23" s="26">
        <f>IFERROR(HistoricalFS!I33/(SUM(HistoricalFS!I47:I48)),0)</f>
        <v>0.38626190556322149</v>
      </c>
      <c r="J23" s="26">
        <f>IFERROR(HistoricalFS!J33/(SUM(HistoricalFS!J47:J48)),0)</f>
        <v>0.42968680881181986</v>
      </c>
      <c r="K23" s="26">
        <f>IFERROR(HistoricalFS!K33/(SUM(HistoricalFS!K47:K48)),0)</f>
        <v>0.47116224071434099</v>
      </c>
      <c r="L23" s="26">
        <f>IFERROR(HistoricalFS!L33/(SUM(HistoricalFS!L47:L48)),0)</f>
        <v>0.47316264933091307</v>
      </c>
      <c r="N23" s="26">
        <f t="shared" si="7"/>
        <v>0.35676474414078374</v>
      </c>
      <c r="O23" s="35">
        <f t="shared" si="5"/>
        <v>0.34283706379950529</v>
      </c>
    </row>
    <row r="24" spans="2:15" x14ac:dyDescent="0.4">
      <c r="B24" s="8" t="s">
        <v>135</v>
      </c>
      <c r="C24" s="26">
        <f>IFERROR(C22*C23,0)</f>
        <v>0.17847394191805493</v>
      </c>
      <c r="D24" s="26">
        <f t="shared" ref="D24:L24" si="8">IFERROR(D22*D23,0)</f>
        <v>0.14936089266244462</v>
      </c>
      <c r="E24" s="26">
        <f t="shared" si="8"/>
        <v>0.1490461422798609</v>
      </c>
      <c r="F24" s="26">
        <f t="shared" si="8"/>
        <v>0.17889005657044477</v>
      </c>
      <c r="G24" s="26">
        <f t="shared" si="8"/>
        <v>5.7057271236003312E-3</v>
      </c>
      <c r="H24" s="26">
        <f t="shared" si="8"/>
        <v>0.19189429963092797</v>
      </c>
      <c r="I24" s="26">
        <f t="shared" si="8"/>
        <v>0.20970618921011006</v>
      </c>
      <c r="J24" s="26">
        <f t="shared" si="8"/>
        <v>0</v>
      </c>
      <c r="K24" s="26">
        <f t="shared" si="8"/>
        <v>0.17912674468719958</v>
      </c>
      <c r="L24" s="26">
        <f t="shared" si="8"/>
        <v>0</v>
      </c>
      <c r="N24" s="26">
        <f t="shared" si="7"/>
        <v>0.12422039940826431</v>
      </c>
      <c r="O24" s="35">
        <f t="shared" si="5"/>
        <v>0.16391741729024978</v>
      </c>
    </row>
    <row r="25" spans="2:15" x14ac:dyDescent="0.4">
      <c r="B25" s="8" t="s">
        <v>136</v>
      </c>
      <c r="C25" s="37">
        <f>IFERROR((HistoricalFS!C18-HistoricalFS!C24)/HistoricalFS!C21,0)</f>
        <v>872.39393939393938</v>
      </c>
      <c r="D25" s="37">
        <f>IFERROR((HistoricalFS!D18-HistoricalFS!D24)/HistoricalFS!D21,0)</f>
        <v>947.625</v>
      </c>
      <c r="E25" s="37">
        <f>IFERROR((HistoricalFS!E18-HistoricalFS!E24)/HistoricalFS!E21,0)</f>
        <v>586.57692307692309</v>
      </c>
      <c r="F25" s="37">
        <f>IFERROR((HistoricalFS!F18-HistoricalFS!F24)/HistoricalFS!F21,0)</f>
        <v>189.14141414141415</v>
      </c>
      <c r="G25" s="37">
        <f>IFERROR((HistoricalFS!G18-HistoricalFS!G24)/HistoricalFS!G21,0)</f>
        <v>41.753246753246756</v>
      </c>
      <c r="H25" s="37">
        <f>IFERROR((HistoricalFS!H18-HistoricalFS!H24)/HistoricalFS!H21,0)</f>
        <v>66.689167974882267</v>
      </c>
      <c r="I25" s="37">
        <f>IFERROR((HistoricalFS!I18-HistoricalFS!I24)/HistoricalFS!I21,0)</f>
        <v>61.802295918367349</v>
      </c>
      <c r="J25" s="37">
        <f>IFERROR((HistoricalFS!J18-HistoricalFS!J24)/HistoricalFS!J21,0)</f>
        <v>69.623876765083438</v>
      </c>
      <c r="K25" s="37">
        <f>IFERROR((HistoricalFS!K18-HistoricalFS!K24)/HistoricalFS!K21,0)</f>
        <v>76.235218508997434</v>
      </c>
      <c r="L25" s="37">
        <f>IFERROR((HistoricalFS!L18-HistoricalFS!L24)/HistoricalFS!L21,0)</f>
        <v>78.096733668341713</v>
      </c>
      <c r="N25" s="37">
        <f t="shared" si="7"/>
        <v>298.99378162011965</v>
      </c>
      <c r="O25" s="24">
        <f t="shared" si="5"/>
        <v>77.165976088669566</v>
      </c>
    </row>
    <row r="26" spans="2:15" x14ac:dyDescent="0.4">
      <c r="B26" s="40"/>
      <c r="C26" s="30" t="s">
        <v>55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2:15" x14ac:dyDescent="0.4">
      <c r="B27" s="8" t="s">
        <v>141</v>
      </c>
      <c r="C27" s="37">
        <f>IFERROR(HistoricalFS!C6/HistoricalFS!C59,0)</f>
        <v>4.5131890499729987</v>
      </c>
      <c r="D27" s="37">
        <f>IFERROR(HistoricalFS!D6/HistoricalFS!D59,0)</f>
        <v>5.2158111155325644</v>
      </c>
      <c r="E27" s="37">
        <f>IFERROR(HistoricalFS!E6/HistoricalFS!E59,0)</f>
        <v>4.9354127410495927</v>
      </c>
      <c r="F27" s="37">
        <f>IFERROR(HistoricalFS!F6/HistoricalFS!F59,0)</f>
        <v>5.3559204271191403</v>
      </c>
      <c r="G27" s="37">
        <f>IFERROR(HistoricalFS!G6/HistoricalFS!G59,0)</f>
        <v>5.1404755666186297</v>
      </c>
      <c r="H27" s="37">
        <f>IFERROR(HistoricalFS!H6/HistoricalFS!H59,0)</f>
        <v>5.4581934239835102</v>
      </c>
      <c r="I27" s="37">
        <f>IFERROR(HistoricalFS!I6/HistoricalFS!I59,0)</f>
        <v>4.5863190624252574</v>
      </c>
      <c r="J27" s="37">
        <f>IFERROR(HistoricalFS!J6/HistoricalFS!J59,0)</f>
        <v>4.5133122472674865</v>
      </c>
      <c r="K27" s="37">
        <f>IFERROR(HistoricalFS!K6/HistoricalFS!K59,0)</f>
        <v>4.4962017283535847</v>
      </c>
      <c r="L27" s="37">
        <f>IFERROR(HistoricalFS!L6/HistoricalFS!L59,0)</f>
        <v>4.3241540493852249</v>
      </c>
      <c r="N27" s="37">
        <f>IFERROR(AVERAGE(C27:L27),0)</f>
        <v>4.8538989411707991</v>
      </c>
      <c r="O27" s="37">
        <f t="shared" si="5"/>
        <v>4.7608659017374251</v>
      </c>
    </row>
    <row r="28" spans="2:15" x14ac:dyDescent="0.4">
      <c r="B28" s="8" t="s">
        <v>142</v>
      </c>
      <c r="C28" s="37">
        <f>IFERROR(HistoricalFS!C6/HistoricalFS!C50,0)</f>
        <v>6.400730529044421</v>
      </c>
      <c r="D28" s="37">
        <f>IFERROR(HistoricalFS!D6/HistoricalFS!D50,0)</f>
        <v>7.4520530638029054</v>
      </c>
      <c r="E28" s="37">
        <f>IFERROR(HistoricalFS!E6/HistoricalFS!E50,0)</f>
        <v>6.2327983393245914</v>
      </c>
      <c r="F28" s="37">
        <f>IFERROR(HistoricalFS!F6/HistoricalFS!F50,0)</f>
        <v>6.0043045135899646</v>
      </c>
      <c r="G28" s="37">
        <f>IFERROR(HistoricalFS!G6/HistoricalFS!G50,0)</f>
        <v>5.6401696194343627</v>
      </c>
      <c r="H28" s="37">
        <f>IFERROR(HistoricalFS!H6/HistoricalFS!H50,0)</f>
        <v>4.5905659322223462</v>
      </c>
      <c r="I28" s="37">
        <f>IFERROR(HistoricalFS!I6/HistoricalFS!I50,0)</f>
        <v>4.3613164418768626</v>
      </c>
      <c r="J28" s="37">
        <f>IFERROR(HistoricalFS!J6/HistoricalFS!J50,0)</f>
        <v>5.0385053746619883</v>
      </c>
      <c r="K28" s="37">
        <f>IFERROR(HistoricalFS!K6/HistoricalFS!K50,0)</f>
        <v>5.129530258506878</v>
      </c>
      <c r="L28" s="37">
        <f>IFERROR(HistoricalFS!L6/HistoricalFS!L50,0)</f>
        <v>4.6847580778334343</v>
      </c>
      <c r="N28" s="37">
        <f t="shared" ref="N28:N31" si="9">IFERROR(AVERAGE(C28:L28),0)</f>
        <v>5.5534732150297748</v>
      </c>
      <c r="O28" s="37">
        <f t="shared" si="5"/>
        <v>5.3848499389706204</v>
      </c>
    </row>
    <row r="29" spans="2:15" x14ac:dyDescent="0.4">
      <c r="B29" s="8" t="s">
        <v>147</v>
      </c>
      <c r="C29" s="37">
        <f>IFERROR(HistoricalFS!C6/HistoricalFS!C60,0)</f>
        <v>6790.375</v>
      </c>
      <c r="D29" s="37">
        <f>IFERROR(HistoricalFS!D6/HistoricalFS!D60,0)</f>
        <v>5617.4285714285716</v>
      </c>
      <c r="E29" s="37">
        <f>IFERROR(HistoricalFS!E6/HistoricalFS!E60,0)</f>
        <v>4734.7692307692305</v>
      </c>
      <c r="F29" s="37">
        <f>IFERROR(HistoricalFS!F6/HistoricalFS!F60,0)</f>
        <v>14646.3</v>
      </c>
      <c r="G29" s="37">
        <f>IFERROR(HistoricalFS!G6/HistoricalFS!G60,0)</f>
        <v>31389.8</v>
      </c>
      <c r="H29" s="37">
        <f>IFERROR(HistoricalFS!H6/HistoricalFS!H60,0)</f>
        <v>20522.125</v>
      </c>
      <c r="I29" s="37">
        <f>IFERROR(HistoricalFS!I6/HistoricalFS!I60,0)</f>
        <v>9587.7000000000007</v>
      </c>
      <c r="J29" s="37">
        <f>IFERROR(HistoricalFS!J6/HistoricalFS!J60,0)</f>
        <v>8052.0714285714284</v>
      </c>
      <c r="K29" s="37">
        <f>IFERROR(HistoricalFS!K6/HistoricalFS!K60,0)</f>
        <v>8603.3214285714294</v>
      </c>
      <c r="L29" s="37">
        <f>IFERROR(HistoricalFS!L6/HistoricalFS!L60,0)</f>
        <v>12158.285714285714</v>
      </c>
      <c r="N29" s="37">
        <f t="shared" si="9"/>
        <v>12210.217637362639</v>
      </c>
      <c r="O29" s="37">
        <f t="shared" si="5"/>
        <v>9095.5107142857159</v>
      </c>
    </row>
    <row r="30" spans="2:15" x14ac:dyDescent="0.4">
      <c r="B30" s="8" t="s">
        <v>137</v>
      </c>
      <c r="C30" s="37">
        <f>IFERROR(HistoricalFS!C6/HistoricalFS!C53,0)</f>
        <v>9.2276201800577535</v>
      </c>
      <c r="D30" s="37">
        <f>IFERROR(HistoricalFS!D6/HistoricalFS!D53,0)</f>
        <v>10.0817024185967</v>
      </c>
      <c r="E30" s="37">
        <f>IFERROR(HistoricalFS!E6/HistoricalFS!E53,0)</f>
        <v>10.281800718282803</v>
      </c>
      <c r="F30" s="37">
        <f>IFERROR(HistoricalFS!F6/HistoricalFS!F53,0)</f>
        <v>11.917249796582588</v>
      </c>
      <c r="G30" s="37">
        <f>IFERROR(HistoricalFS!G6/HistoricalFS!G53,0)</f>
        <v>7.4994743883792045</v>
      </c>
      <c r="H30" s="37">
        <f>IFERROR(HistoricalFS!H6/HistoricalFS!H53,0)</f>
        <v>7.8101422387136674</v>
      </c>
      <c r="I30" s="37">
        <f>IFERROR(HistoricalFS!I6/HistoricalFS!I53,0)</f>
        <v>9.0033805991172873</v>
      </c>
      <c r="J30" s="37">
        <f>IFERROR(HistoricalFS!J6/HistoricalFS!J53,0)</f>
        <v>10.989909822081405</v>
      </c>
      <c r="K30" s="37">
        <f>IFERROR(HistoricalFS!K6/HistoricalFS!K53,0)</f>
        <v>12.287951438481942</v>
      </c>
      <c r="L30" s="37">
        <f>IFERROR(HistoricalFS!L6/HistoricalFS!L53,0)</f>
        <v>11.075521624083633</v>
      </c>
      <c r="N30" s="37">
        <f t="shared" si="9"/>
        <v>10.017475322437699</v>
      </c>
      <c r="O30" s="37">
        <f t="shared" si="5"/>
        <v>10.181751568439751</v>
      </c>
    </row>
    <row r="31" spans="2:15" x14ac:dyDescent="0.4">
      <c r="B31" s="8" t="s">
        <v>138</v>
      </c>
      <c r="C31" s="37">
        <f>IFERROR(HistoricalFS!C6/(SUM(HistoricalFS!C47:C48)),0)</f>
        <v>1.5286751463304817</v>
      </c>
      <c r="D31" s="37">
        <f>IFERROR(HistoricalFS!D6/(SUM(HistoricalFS!D47:D48)),0)</f>
        <v>1.3682928526689402</v>
      </c>
      <c r="E31" s="37">
        <f>IFERROR(HistoricalFS!E6/(SUM(HistoricalFS!E47:E48)),0)</f>
        <v>1.44610468940889</v>
      </c>
      <c r="F31" s="37">
        <f>IFERROR(HistoricalFS!F6/(SUM(HistoricalFS!F47:F48)),0)</f>
        <v>1.637446056838763</v>
      </c>
      <c r="G31" s="37">
        <f>IFERROR(HistoricalFS!G6/(SUM(HistoricalFS!G47:G48)),0)</f>
        <v>1.8656420131707201</v>
      </c>
      <c r="H31" s="37">
        <f>IFERROR(HistoricalFS!H6/(SUM(HistoricalFS!H47:H48)),0)</f>
        <v>1.8994712667615379</v>
      </c>
      <c r="I31" s="37">
        <f>IFERROR(HistoricalFS!I6/(SUM(HistoricalFS!I47:I48)),0)</f>
        <v>2.1511796183488707</v>
      </c>
      <c r="J31" s="37">
        <f>IFERROR(HistoricalFS!J6/(SUM(HistoricalFS!J47:J48)),0)</f>
        <v>2.4933424754489959</v>
      </c>
      <c r="K31" s="37">
        <f>IFERROR(HistoricalFS!K6/(SUM(HistoricalFS!K47:K48)),0)</f>
        <v>2.6621246781376744</v>
      </c>
      <c r="L31" s="37">
        <f>IFERROR(HistoricalFS!L6/(SUM(HistoricalFS!L47:L48)),0)</f>
        <v>2.6945417704419774</v>
      </c>
      <c r="N31" s="37">
        <f t="shared" si="9"/>
        <v>1.9746820567556849</v>
      </c>
      <c r="O31" s="37">
        <f t="shared" si="5"/>
        <v>1.8825566399661291</v>
      </c>
    </row>
    <row r="32" spans="2:15" x14ac:dyDescent="0.4">
      <c r="B32" s="40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30"/>
      <c r="N32" s="30"/>
      <c r="O32" s="30"/>
    </row>
    <row r="33" spans="2:15" x14ac:dyDescent="0.4">
      <c r="B33" s="38" t="s">
        <v>149</v>
      </c>
    </row>
    <row r="34" spans="2:15" x14ac:dyDescent="0.4">
      <c r="B34" s="8" t="s">
        <v>148</v>
      </c>
      <c r="C34" s="39">
        <f>IFERROR(365/C27,0)</f>
        <v>80.87407727850082</v>
      </c>
      <c r="D34" s="39">
        <f t="shared" ref="D34:L34" si="10">IFERROR(365/D27,0)</f>
        <v>69.979527999593103</v>
      </c>
      <c r="E34" s="39">
        <f t="shared" si="10"/>
        <v>73.955314205874714</v>
      </c>
      <c r="F34" s="39">
        <f t="shared" si="10"/>
        <v>68.148884018489312</v>
      </c>
      <c r="G34" s="39">
        <f t="shared" si="10"/>
        <v>71.005103568675167</v>
      </c>
      <c r="H34" s="39">
        <f t="shared" si="10"/>
        <v>66.871943085815914</v>
      </c>
      <c r="I34" s="39">
        <f t="shared" si="10"/>
        <v>79.584519749262071</v>
      </c>
      <c r="J34" s="39">
        <f t="shared" si="10"/>
        <v>80.871869705222252</v>
      </c>
      <c r="K34" s="39">
        <f t="shared" si="10"/>
        <v>81.179631620678052</v>
      </c>
      <c r="L34" s="39">
        <f t="shared" si="10"/>
        <v>84.409573718099367</v>
      </c>
      <c r="N34" s="39">
        <f>IFERROR(AVERAGE(C34:L34),0)</f>
        <v>75.688044495021089</v>
      </c>
      <c r="O34" s="24">
        <f>IFERROR(MEDIAN(C34:L34),0)</f>
        <v>76.769916977568386</v>
      </c>
    </row>
    <row r="35" spans="2:15" x14ac:dyDescent="0.4">
      <c r="B35" s="8" t="s">
        <v>139</v>
      </c>
      <c r="C35" s="39">
        <f>IFERROR(365/C28,0)</f>
        <v>57.024740901643867</v>
      </c>
      <c r="D35" s="39">
        <f t="shared" ref="D35:L35" si="11">IFERROR(365/D28,0)</f>
        <v>48.979790787175972</v>
      </c>
      <c r="E35" s="39">
        <f t="shared" si="11"/>
        <v>58.56117591629841</v>
      </c>
      <c r="F35" s="39">
        <f t="shared" si="11"/>
        <v>60.789721636181149</v>
      </c>
      <c r="G35" s="39">
        <f t="shared" si="11"/>
        <v>64.714365813098524</v>
      </c>
      <c r="H35" s="39">
        <f t="shared" si="11"/>
        <v>79.510893730546911</v>
      </c>
      <c r="I35" s="39">
        <f t="shared" si="11"/>
        <v>83.690327190045565</v>
      </c>
      <c r="J35" s="39">
        <f t="shared" si="11"/>
        <v>72.442117822388212</v>
      </c>
      <c r="K35" s="39">
        <f t="shared" si="11"/>
        <v>71.156613102082659</v>
      </c>
      <c r="L35" s="39">
        <f t="shared" si="11"/>
        <v>77.912240917422565</v>
      </c>
      <c r="N35" s="39">
        <f t="shared" ref="N35:N41" si="12">IFERROR(AVERAGE(C35:L35),0)</f>
        <v>67.478198781688391</v>
      </c>
      <c r="O35" s="24">
        <f t="shared" ref="O35:O37" si="13">IFERROR(MEDIAN(C35:L35),0)</f>
        <v>67.935489457590592</v>
      </c>
    </row>
    <row r="36" spans="2:15" x14ac:dyDescent="0.4">
      <c r="B36" s="8" t="s">
        <v>140</v>
      </c>
      <c r="C36" s="39">
        <f>IFERROR(365/C29,0)</f>
        <v>5.375255416674337E-2</v>
      </c>
      <c r="D36" s="39">
        <f t="shared" ref="D36:L36" si="14">IFERROR(365/D29,0)</f>
        <v>6.497634911754234E-2</v>
      </c>
      <c r="E36" s="39">
        <f t="shared" si="14"/>
        <v>7.7089290356121665E-2</v>
      </c>
      <c r="F36" s="39">
        <f t="shared" si="14"/>
        <v>2.4920969801246733E-2</v>
      </c>
      <c r="G36" s="39">
        <f t="shared" si="14"/>
        <v>1.1627981063912482E-2</v>
      </c>
      <c r="H36" s="39">
        <f t="shared" si="14"/>
        <v>1.7785682525566917E-2</v>
      </c>
      <c r="I36" s="39">
        <f t="shared" si="14"/>
        <v>3.8069610021172956E-2</v>
      </c>
      <c r="J36" s="39">
        <f t="shared" si="14"/>
        <v>4.5329950589466775E-2</v>
      </c>
      <c r="K36" s="39">
        <f t="shared" si="14"/>
        <v>4.2425475210985789E-2</v>
      </c>
      <c r="L36" s="39">
        <f t="shared" si="14"/>
        <v>3.0020679607087465E-2</v>
      </c>
      <c r="N36" s="39">
        <f t="shared" si="12"/>
        <v>4.0599854245984647E-2</v>
      </c>
      <c r="O36" s="24">
        <f t="shared" si="13"/>
        <v>4.0247542616079372E-2</v>
      </c>
    </row>
    <row r="37" spans="2:15" x14ac:dyDescent="0.4">
      <c r="B37" s="8" t="s">
        <v>143</v>
      </c>
      <c r="C37" s="39">
        <f>SUM(C34,C36)-C35</f>
        <v>23.903088931023703</v>
      </c>
      <c r="D37" s="39">
        <f t="shared" ref="D37:L37" si="15">SUM(D34,D36)-D35</f>
        <v>21.064713561534674</v>
      </c>
      <c r="E37" s="39">
        <f t="shared" si="15"/>
        <v>15.471227579932432</v>
      </c>
      <c r="F37" s="39">
        <f t="shared" si="15"/>
        <v>7.3840833521094069</v>
      </c>
      <c r="G37" s="39">
        <f t="shared" si="15"/>
        <v>6.302365736640553</v>
      </c>
      <c r="H37" s="39">
        <f t="shared" si="15"/>
        <v>-12.621164962205427</v>
      </c>
      <c r="I37" s="39">
        <f t="shared" si="15"/>
        <v>-4.0677378307623258</v>
      </c>
      <c r="J37" s="39">
        <f t="shared" si="15"/>
        <v>8.4750818334235021</v>
      </c>
      <c r="K37" s="39">
        <f t="shared" si="15"/>
        <v>10.065443993806383</v>
      </c>
      <c r="L37" s="39">
        <f t="shared" si="15"/>
        <v>6.5273534802838924</v>
      </c>
      <c r="N37" s="39">
        <f t="shared" si="12"/>
        <v>8.2504455675786801</v>
      </c>
      <c r="O37" s="24">
        <f t="shared" si="13"/>
        <v>7.9295825927664545</v>
      </c>
    </row>
    <row r="38" spans="2:15" x14ac:dyDescent="0.4">
      <c r="B38" s="4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45"/>
      <c r="O38" s="30"/>
    </row>
    <row r="39" spans="2:15" x14ac:dyDescent="0.4">
      <c r="B39" s="8" t="s">
        <v>144</v>
      </c>
      <c r="C39" s="35">
        <f>IFERROR(HistoricalFS!C78/HistoricalFS!C6,0)</f>
        <v>0.17616847375881303</v>
      </c>
      <c r="D39" s="35">
        <f>IFERROR(HistoricalFS!D78/HistoricalFS!D6,0)</f>
        <v>0.20440635437329399</v>
      </c>
      <c r="E39" s="35">
        <f>IFERROR(HistoricalFS!E78/HistoricalFS!E6,0)</f>
        <v>0.21966792305692748</v>
      </c>
      <c r="F39" s="35">
        <f>IFERROR(HistoricalFS!F78/HistoricalFS!F6,0)</f>
        <v>0.18977489195223368</v>
      </c>
      <c r="G39" s="35">
        <f>IFERROR(HistoricalFS!G78/HistoricalFS!G6,0)</f>
        <v>0.19462373127576474</v>
      </c>
      <c r="H39" s="35">
        <f>IFERROR(HistoricalFS!H78/HistoricalFS!H6,0)</f>
        <v>0.23573338530975715</v>
      </c>
      <c r="I39" s="35">
        <f>IFERROR(HistoricalFS!I78/HistoricalFS!I6,0)</f>
        <v>0.21981288525923839</v>
      </c>
      <c r="J39" s="35">
        <f>IFERROR(HistoricalFS!J78/HistoricalFS!J6,0)</f>
        <v>0.19251035669614741</v>
      </c>
      <c r="K39" s="35">
        <f>IFERROR(HistoricalFS!K78/HistoricalFS!K6,0)</f>
        <v>0.17194356000381913</v>
      </c>
      <c r="L39" s="35">
        <f>IFERROR(HistoricalFS!L78/HistoricalFS!L6,0)</f>
        <v>0.18428349861352633</v>
      </c>
      <c r="N39" s="35">
        <f t="shared" si="12"/>
        <v>0.19889250602995215</v>
      </c>
      <c r="O39" s="35">
        <f>IFERROR(MEDIAN(C39:L39),0)</f>
        <v>0.19356704398595609</v>
      </c>
    </row>
    <row r="40" spans="2:15" x14ac:dyDescent="0.4">
      <c r="B40" s="8" t="s">
        <v>145</v>
      </c>
      <c r="C40" s="35">
        <f>IFERROR(HistoricalFS!C78/HistoricalFS!C64,0)</f>
        <v>0.21678313757914169</v>
      </c>
      <c r="D40" s="35">
        <f>IFERROR(HistoricalFS!D78/HistoricalFS!D64,0)</f>
        <v>0.23563268935729431</v>
      </c>
      <c r="E40" s="35">
        <f>IFERROR(HistoricalFS!E78/HistoricalFS!E64,0)</f>
        <v>0.25723417613149935</v>
      </c>
      <c r="F40" s="35">
        <f>IFERROR(HistoricalFS!F78/HistoricalFS!F64,0)</f>
        <v>0.2440277082729739</v>
      </c>
      <c r="G40" s="35">
        <f>IFERROR(HistoricalFS!G78/HistoricalFS!G64,0)</f>
        <v>0.2542808860622508</v>
      </c>
      <c r="H40" s="35">
        <f>IFERROR(HistoricalFS!H78/HistoricalFS!H64,0)</f>
        <v>0.29772601390854819</v>
      </c>
      <c r="I40" s="35">
        <f>IFERROR(HistoricalFS!I78/HistoricalFS!I64,0)</f>
        <v>0.29909738582498369</v>
      </c>
      <c r="J40" s="35">
        <f>IFERROR(HistoricalFS!J78/HistoricalFS!J64,0)</f>
        <v>0.30381705037834505</v>
      </c>
      <c r="K40" s="35">
        <f>IFERROR(HistoricalFS!K78/HistoricalFS!K64,0)</f>
        <v>0.28472833260008801</v>
      </c>
      <c r="L40" s="35">
        <f>IFERROR(HistoricalFS!L78/HistoricalFS!L64,0)</f>
        <v>0.29657924096590588</v>
      </c>
      <c r="N40" s="35">
        <f t="shared" si="12"/>
        <v>0.26899066210810313</v>
      </c>
      <c r="O40" s="35">
        <f t="shared" ref="O40:O41" si="16">IFERROR(MEDIAN(C40:L40),0)</f>
        <v>0.27098125436579368</v>
      </c>
    </row>
    <row r="41" spans="2:15" x14ac:dyDescent="0.4">
      <c r="B41" s="8" t="s">
        <v>146</v>
      </c>
      <c r="C41" s="35">
        <f>IFERROR(HistoricalFS!C78/HistoricalFS!C49,0)</f>
        <v>78.122448979591837</v>
      </c>
      <c r="D41" s="35">
        <f>IFERROR(HistoricalFS!D78/HistoricalFS!D49,0)</f>
        <v>83.435986159169545</v>
      </c>
      <c r="E41" s="35">
        <f>IFERROR(HistoricalFS!E78/HistoricalFS!E49,0)</f>
        <v>109.48178137651821</v>
      </c>
      <c r="F41" s="35">
        <f>IFERROR(HistoricalFS!F78/HistoricalFS!F49,0)</f>
        <v>448.30645161290323</v>
      </c>
      <c r="G41" s="35">
        <f>IFERROR(HistoricalFS!G78/HistoricalFS!G49,0)</f>
        <v>3.7369708832884756</v>
      </c>
      <c r="H41" s="35">
        <f>IFERROR(HistoricalFS!H78/HistoricalFS!H49,0)</f>
        <v>4.9649775497113531</v>
      </c>
      <c r="I41" s="35">
        <f>IFERROR(HistoricalFS!I78/HistoricalFS!I49,0)</f>
        <v>5.3914044512663084</v>
      </c>
      <c r="J41" s="35">
        <f>IFERROR(HistoricalFS!J78/HistoricalFS!J49,0)</f>
        <v>5.645551508844953</v>
      </c>
      <c r="K41" s="35">
        <f>IFERROR(HistoricalFS!K78/HistoricalFS!K49,0)</f>
        <v>5.1639446453060716</v>
      </c>
      <c r="L41" s="35">
        <f>IFERROR(HistoricalFS!L78/HistoricalFS!L49,0)</f>
        <v>5.0097955706984667</v>
      </c>
      <c r="N41" s="35">
        <f t="shared" si="12"/>
        <v>74.925931273729844</v>
      </c>
      <c r="O41" s="35">
        <f t="shared" si="16"/>
        <v>5.5184779800556303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C1E43F0-740E-424A-BC3D-3C134D5DDDA7}">
          <x14:colorSeries rgb="FF376092"/>
          <x14:colorNegative rgb="FFD00000"/>
          <x14:colorAxis rgb="FF000000"/>
          <x14:colorMarkers theme="7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413E9208-3357-467C-B086-ABA1EAE2999D}">
          <x14:colorSeries rgb="FF376092"/>
          <x14:colorNegative rgb="FFD00000"/>
          <x14:colorAxis rgb="FF000000"/>
          <x14:colorMarkers theme="7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29DD-1F99-45E7-9A0B-F7DCFDF7F534}">
  <dimension ref="B2:O29"/>
  <sheetViews>
    <sheetView showGridLines="0" workbookViewId="0">
      <selection activeCell="E19" sqref="E19"/>
    </sheetView>
  </sheetViews>
  <sheetFormatPr defaultRowHeight="14.6" x14ac:dyDescent="0.4"/>
  <cols>
    <col min="1" max="1" width="1.84375" customWidth="1"/>
    <col min="2" max="2" width="10.84375" bestFit="1" customWidth="1"/>
    <col min="3" max="3" width="9.3828125" bestFit="1" customWidth="1"/>
    <col min="4" max="4" width="9.3046875" bestFit="1" customWidth="1"/>
    <col min="5" max="5" width="17.84375" customWidth="1"/>
    <col min="6" max="6" width="9.3828125" bestFit="1" customWidth="1"/>
    <col min="7" max="7" width="17.23046875" bestFit="1" customWidth="1"/>
    <col min="8" max="8" width="11.84375" bestFit="1" customWidth="1"/>
    <col min="9" max="9" width="13.53515625" bestFit="1" customWidth="1"/>
    <col min="10" max="11" width="11.84375" bestFit="1" customWidth="1"/>
    <col min="12" max="12" width="9.23046875" customWidth="1"/>
    <col min="13" max="13" width="11.84375" bestFit="1" customWidth="1"/>
    <col min="14" max="15" width="12" bestFit="1" customWidth="1"/>
  </cols>
  <sheetData>
    <row r="2" spans="2:15" x14ac:dyDescent="0.4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x14ac:dyDescent="0.4">
      <c r="B3" s="129" t="str">
        <f>'Data Sheet'!B1&amp;" - " &amp; 'Data Sheet'!A17&amp;" Forecasting"</f>
        <v>TATA CONSULTANCY SERVICES LTD - Sales Forecasting</v>
      </c>
      <c r="C3" s="129"/>
      <c r="D3" s="129"/>
      <c r="E3" s="129"/>
      <c r="F3" s="47"/>
      <c r="G3" s="129" t="str">
        <f>'Data Sheet'!B1&amp;" - "&amp;"EBITDA Forecasting"</f>
        <v>TATA CONSULTANCY SERVICES LTD - EBITDA Forecasting</v>
      </c>
      <c r="H3" s="129"/>
      <c r="I3" s="129"/>
      <c r="J3" s="129"/>
      <c r="K3" s="47"/>
      <c r="L3" s="129" t="str">
        <f>'Data Sheet'!B1&amp;" - "&amp;"EPS Forecasting"</f>
        <v>TATA CONSULTANCY SERVICES LTD - EPS Forecasting</v>
      </c>
      <c r="M3" s="129"/>
      <c r="N3" s="129"/>
      <c r="O3" s="129"/>
    </row>
    <row r="4" spans="2:15" x14ac:dyDescent="0.4">
      <c r="B4" s="48" t="s">
        <v>55</v>
      </c>
      <c r="C4" s="48" t="s">
        <v>153</v>
      </c>
      <c r="D4" s="48" t="s">
        <v>1</v>
      </c>
      <c r="E4" s="48" t="s">
        <v>122</v>
      </c>
      <c r="G4" s="48" t="s">
        <v>55</v>
      </c>
      <c r="H4" s="48" t="s">
        <v>153</v>
      </c>
      <c r="I4" s="48" t="s">
        <v>203</v>
      </c>
      <c r="J4" s="48" t="s">
        <v>123</v>
      </c>
      <c r="L4" s="48" t="s">
        <v>55</v>
      </c>
      <c r="M4" s="48" t="s">
        <v>153</v>
      </c>
      <c r="N4" s="48" t="s">
        <v>30</v>
      </c>
      <c r="O4" s="48" t="s">
        <v>206</v>
      </c>
    </row>
    <row r="5" spans="2:15" x14ac:dyDescent="0.4">
      <c r="B5" s="8">
        <v>1</v>
      </c>
      <c r="C5" s="49">
        <f>'Data Sheet'!$B$16</f>
        <v>42460</v>
      </c>
      <c r="D5" s="50">
        <f t="array" ref="D5:D14">TRANSPOSE('Data Sheet'!B17:K17)</f>
        <v>108646</v>
      </c>
      <c r="G5" s="8">
        <v>1</v>
      </c>
      <c r="H5" s="49">
        <f>'Data Sheet'!$B$16</f>
        <v>42460</v>
      </c>
      <c r="I5" s="50">
        <f t="array" ref="I5:I14">TRANSPOSE(HistoricalFS!C18:M18)</f>
        <v>30677</v>
      </c>
      <c r="L5" s="8">
        <v>1</v>
      </c>
      <c r="M5" s="49">
        <f>'Data Sheet'!$B$16</f>
        <v>42460</v>
      </c>
      <c r="N5" s="50">
        <f t="array" ref="N5:N14">TRANSPOSE(HistoricalFS!C38:L38)</f>
        <v>53.931842980029948</v>
      </c>
    </row>
    <row r="6" spans="2:15" x14ac:dyDescent="0.4">
      <c r="B6" s="8">
        <f>B5+1</f>
        <v>2</v>
      </c>
      <c r="C6" s="49">
        <f>C5+365</f>
        <v>42825</v>
      </c>
      <c r="D6" s="50">
        <v>117966</v>
      </c>
      <c r="E6" s="35">
        <f>D6/D5-1</f>
        <v>8.578318575925481E-2</v>
      </c>
      <c r="G6" s="8">
        <f>G5+1</f>
        <v>2</v>
      </c>
      <c r="H6" s="49">
        <f>H5+365</f>
        <v>42825</v>
      </c>
      <c r="I6" s="50">
        <v>32311</v>
      </c>
      <c r="J6" s="35">
        <f>I6/I5-1</f>
        <v>5.3264660820810272E-2</v>
      </c>
      <c r="L6" s="8">
        <f>L5+1</f>
        <v>2</v>
      </c>
      <c r="M6" s="49">
        <f>M5+365</f>
        <v>42825</v>
      </c>
      <c r="N6" s="50">
        <v>56.169910426552313</v>
      </c>
      <c r="O6" s="35">
        <f>N6/N5-1</f>
        <v>4.1498070951350163E-2</v>
      </c>
    </row>
    <row r="7" spans="2:15" x14ac:dyDescent="0.4">
      <c r="B7" s="8">
        <f t="shared" ref="B7:B19" si="0">B6+1</f>
        <v>3</v>
      </c>
      <c r="C7" s="49">
        <f t="shared" ref="C7:C19" si="1">C6+365</f>
        <v>43190</v>
      </c>
      <c r="D7" s="50">
        <v>123104</v>
      </c>
      <c r="E7" s="35">
        <f t="shared" ref="E7:E19" si="2">D7/D6-1</f>
        <v>4.3554922604818413E-2</v>
      </c>
      <c r="G7" s="8">
        <f t="shared" ref="G7:G19" si="3">G6+1</f>
        <v>3</v>
      </c>
      <c r="H7" s="49">
        <f t="shared" ref="H7:H19" si="4">H6+365</f>
        <v>43190</v>
      </c>
      <c r="I7" s="50">
        <v>32516</v>
      </c>
      <c r="J7" s="35">
        <f t="shared" ref="J7:J19" si="5">I7/I6-1</f>
        <v>6.3445885302217953E-3</v>
      </c>
      <c r="L7" s="8">
        <f t="shared" ref="L7:L19" si="6">L6+1</f>
        <v>3</v>
      </c>
      <c r="M7" s="49">
        <f t="shared" ref="M7:M19" si="7">M6+365</f>
        <v>43190</v>
      </c>
      <c r="N7" s="50">
        <v>58.083894896306745</v>
      </c>
      <c r="O7" s="35">
        <f t="shared" ref="O7:O19" si="8">N7/N6-1</f>
        <v>3.4074906924716375E-2</v>
      </c>
    </row>
    <row r="8" spans="2:15" x14ac:dyDescent="0.4">
      <c r="B8" s="8">
        <f t="shared" si="0"/>
        <v>4</v>
      </c>
      <c r="C8" s="49">
        <f t="shared" si="1"/>
        <v>43555</v>
      </c>
      <c r="D8" s="50">
        <v>146463</v>
      </c>
      <c r="E8" s="35">
        <f t="shared" si="2"/>
        <v>0.18975012997140639</v>
      </c>
      <c r="G8" s="8">
        <f t="shared" si="3"/>
        <v>4</v>
      </c>
      <c r="H8" s="49">
        <f t="shared" si="4"/>
        <v>43555</v>
      </c>
      <c r="I8" s="50">
        <v>39506</v>
      </c>
      <c r="J8" s="35">
        <f t="shared" si="5"/>
        <v>0.21497109115512369</v>
      </c>
      <c r="L8" s="8">
        <f t="shared" si="6"/>
        <v>4</v>
      </c>
      <c r="M8" s="49">
        <f t="shared" si="7"/>
        <v>43555</v>
      </c>
      <c r="N8" s="50">
        <v>72.622854706321291</v>
      </c>
      <c r="O8" s="35">
        <f t="shared" si="8"/>
        <v>0.25030965702231178</v>
      </c>
    </row>
    <row r="9" spans="2:15" x14ac:dyDescent="0.4">
      <c r="B9" s="8">
        <f t="shared" si="0"/>
        <v>5</v>
      </c>
      <c r="C9" s="49">
        <f t="shared" si="1"/>
        <v>43920</v>
      </c>
      <c r="D9" s="50">
        <v>156949</v>
      </c>
      <c r="E9" s="35">
        <f t="shared" si="2"/>
        <v>7.1594873790650215E-2</v>
      </c>
      <c r="G9" s="8">
        <f t="shared" si="3"/>
        <v>5</v>
      </c>
      <c r="H9" s="49">
        <f t="shared" si="4"/>
        <v>43920</v>
      </c>
      <c r="I9" s="50">
        <v>42109</v>
      </c>
      <c r="J9" s="35">
        <f t="shared" si="5"/>
        <v>6.5888725763175282E-2</v>
      </c>
      <c r="L9" s="8">
        <f t="shared" si="6"/>
        <v>5</v>
      </c>
      <c r="M9" s="49">
        <f t="shared" si="7"/>
        <v>43920</v>
      </c>
      <c r="N9" s="50">
        <v>74.232491205628392</v>
      </c>
      <c r="O9" s="35">
        <f t="shared" si="8"/>
        <v>2.2164324244981604E-2</v>
      </c>
    </row>
    <row r="10" spans="2:15" x14ac:dyDescent="0.4">
      <c r="B10" s="8">
        <f t="shared" si="0"/>
        <v>6</v>
      </c>
      <c r="C10" s="49">
        <f t="shared" si="1"/>
        <v>44285</v>
      </c>
      <c r="D10" s="50">
        <v>164177</v>
      </c>
      <c r="E10" s="35">
        <f t="shared" si="2"/>
        <v>4.6053176509566862E-2</v>
      </c>
      <c r="G10" s="8">
        <f t="shared" si="3"/>
        <v>6</v>
      </c>
      <c r="H10" s="49">
        <f t="shared" si="4"/>
        <v>44285</v>
      </c>
      <c r="I10" s="50">
        <v>46546</v>
      </c>
      <c r="J10" s="35">
        <f t="shared" si="5"/>
        <v>0.10536939846588611</v>
      </c>
      <c r="L10" s="8">
        <f t="shared" si="6"/>
        <v>6</v>
      </c>
      <c r="M10" s="49">
        <f t="shared" si="7"/>
        <v>44285</v>
      </c>
      <c r="N10" s="50">
        <v>82.847179043551122</v>
      </c>
      <c r="O10" s="35">
        <f t="shared" si="8"/>
        <v>0.1160500974439822</v>
      </c>
    </row>
    <row r="11" spans="2:15" x14ac:dyDescent="0.4">
      <c r="B11" s="8">
        <f t="shared" si="0"/>
        <v>7</v>
      </c>
      <c r="C11" s="49">
        <f t="shared" si="1"/>
        <v>44650</v>
      </c>
      <c r="D11" s="50">
        <v>191754</v>
      </c>
      <c r="E11" s="35">
        <f t="shared" si="2"/>
        <v>0.1679711530847805</v>
      </c>
      <c r="G11" s="8">
        <f t="shared" si="3"/>
        <v>7</v>
      </c>
      <c r="H11" s="49">
        <f t="shared" si="4"/>
        <v>44650</v>
      </c>
      <c r="I11" s="50">
        <v>53057</v>
      </c>
      <c r="J11" s="35">
        <f t="shared" si="5"/>
        <v>0.13988312636961275</v>
      </c>
      <c r="L11" s="8">
        <f t="shared" si="6"/>
        <v>7</v>
      </c>
      <c r="M11" s="49">
        <f t="shared" si="7"/>
        <v>44650</v>
      </c>
      <c r="N11" s="50">
        <v>94.096909076002291</v>
      </c>
      <c r="O11" s="35">
        <f t="shared" si="8"/>
        <v>0.13578893285596849</v>
      </c>
    </row>
    <row r="12" spans="2:15" x14ac:dyDescent="0.4">
      <c r="B12" s="8">
        <f t="shared" si="0"/>
        <v>8</v>
      </c>
      <c r="C12" s="49">
        <f t="shared" si="1"/>
        <v>45015</v>
      </c>
      <c r="D12" s="50">
        <v>225458</v>
      </c>
      <c r="E12" s="35">
        <f t="shared" si="2"/>
        <v>0.17576686796624852</v>
      </c>
      <c r="G12" s="8">
        <f t="shared" si="3"/>
        <v>8</v>
      </c>
      <c r="H12" s="49">
        <f t="shared" si="4"/>
        <v>45015</v>
      </c>
      <c r="I12" s="50">
        <v>59259</v>
      </c>
      <c r="J12" s="35">
        <f t="shared" si="5"/>
        <v>0.11689315264715305</v>
      </c>
      <c r="L12" s="8">
        <f t="shared" si="6"/>
        <v>8</v>
      </c>
      <c r="M12" s="49">
        <f t="shared" si="7"/>
        <v>45015</v>
      </c>
      <c r="N12" s="50">
        <v>106.18458090787351</v>
      </c>
      <c r="O12" s="35">
        <f t="shared" si="8"/>
        <v>0.12845981818709884</v>
      </c>
    </row>
    <row r="13" spans="2:15" x14ac:dyDescent="0.4">
      <c r="B13" s="8">
        <f t="shared" si="0"/>
        <v>9</v>
      </c>
      <c r="C13" s="49">
        <f t="shared" si="1"/>
        <v>45380</v>
      </c>
      <c r="D13" s="50">
        <v>240893</v>
      </c>
      <c r="E13" s="35">
        <f t="shared" si="2"/>
        <v>6.8460644554639849E-2</v>
      </c>
      <c r="G13" s="8">
        <f t="shared" si="3"/>
        <v>9</v>
      </c>
      <c r="H13" s="49">
        <f t="shared" si="4"/>
        <v>45380</v>
      </c>
      <c r="I13" s="50">
        <v>64296</v>
      </c>
      <c r="J13" s="35">
        <f t="shared" si="5"/>
        <v>8.4999746873892557E-2</v>
      </c>
      <c r="L13" s="8">
        <f t="shared" si="6"/>
        <v>9</v>
      </c>
      <c r="M13" s="49">
        <f t="shared" si="7"/>
        <v>45380</v>
      </c>
      <c r="N13" s="50">
        <v>117.8380918161466</v>
      </c>
      <c r="O13" s="35">
        <f t="shared" si="8"/>
        <v>0.10974767530875096</v>
      </c>
    </row>
    <row r="14" spans="2:15" x14ac:dyDescent="0.4">
      <c r="B14" s="8">
        <f t="shared" si="0"/>
        <v>10</v>
      </c>
      <c r="C14" s="49">
        <f t="shared" si="1"/>
        <v>45745</v>
      </c>
      <c r="D14" s="50">
        <v>255324</v>
      </c>
      <c r="E14" s="35">
        <f t="shared" si="2"/>
        <v>5.9906265437351891E-2</v>
      </c>
      <c r="G14" s="8">
        <f t="shared" si="3"/>
        <v>10</v>
      </c>
      <c r="H14" s="49">
        <f t="shared" si="4"/>
        <v>45745</v>
      </c>
      <c r="I14" s="50">
        <v>67407</v>
      </c>
      <c r="J14" s="35">
        <f t="shared" si="5"/>
        <v>4.8385591638671066E-2</v>
      </c>
      <c r="L14" s="8">
        <f t="shared" si="6"/>
        <v>10</v>
      </c>
      <c r="M14" s="49">
        <f t="shared" si="7"/>
        <v>45745</v>
      </c>
      <c r="N14" s="50">
        <v>123.918631325834</v>
      </c>
      <c r="O14" s="35">
        <f t="shared" si="8"/>
        <v>5.1600797466869963E-2</v>
      </c>
    </row>
    <row r="15" spans="2:15" x14ac:dyDescent="0.4">
      <c r="B15" s="51">
        <f t="shared" si="0"/>
        <v>11</v>
      </c>
      <c r="C15" s="52">
        <f t="shared" si="1"/>
        <v>46110</v>
      </c>
      <c r="D15" s="53">
        <f>FORECAST(B15,$D$5:$D$14,$B$5:$B$14)</f>
        <v>267588.8</v>
      </c>
      <c r="E15" s="17">
        <f t="shared" si="2"/>
        <v>4.8036220645141015E-2</v>
      </c>
      <c r="G15" s="51">
        <f t="shared" si="3"/>
        <v>11</v>
      </c>
      <c r="H15" s="52">
        <f t="shared" si="4"/>
        <v>46110</v>
      </c>
      <c r="I15" s="53">
        <f>FORECAST(G15,$I$5:$I$14,$G$5:$G$14)</f>
        <v>71210.733333333337</v>
      </c>
      <c r="J15" s="17">
        <f t="shared" si="5"/>
        <v>5.6429352045534342E-2</v>
      </c>
      <c r="L15" s="51">
        <f t="shared" si="6"/>
        <v>11</v>
      </c>
      <c r="M15" s="52">
        <f t="shared" si="7"/>
        <v>46110</v>
      </c>
      <c r="N15" s="53">
        <f>FORECAST(L15,$N$5:$N$14,$L$5:$L$14)</f>
        <v>129.8292601665645</v>
      </c>
      <c r="O15" s="17">
        <f t="shared" si="8"/>
        <v>4.7697660775392059E-2</v>
      </c>
    </row>
    <row r="16" spans="2:15" x14ac:dyDescent="0.4">
      <c r="B16" s="51">
        <f t="shared" si="0"/>
        <v>12</v>
      </c>
      <c r="C16" s="52">
        <f t="shared" si="1"/>
        <v>46475</v>
      </c>
      <c r="D16" s="53">
        <f t="shared" ref="D16:D19" si="9">FORECAST(B16,$D$5:$D$14,$B$5:$B$14)</f>
        <v>284773.41818181821</v>
      </c>
      <c r="E16" s="17">
        <f t="shared" si="2"/>
        <v>6.4220244576074226E-2</v>
      </c>
      <c r="G16" s="51">
        <f t="shared" si="3"/>
        <v>12</v>
      </c>
      <c r="H16" s="52">
        <f t="shared" si="4"/>
        <v>46475</v>
      </c>
      <c r="I16" s="53">
        <f t="shared" ref="I16:I19" si="10">FORECAST(G16,$I$5:$I$14,$G$5:$G$14)</f>
        <v>75654.793939393945</v>
      </c>
      <c r="J16" s="17">
        <f t="shared" si="5"/>
        <v>6.2407173722790032E-2</v>
      </c>
      <c r="L16" s="51">
        <f t="shared" si="6"/>
        <v>12</v>
      </c>
      <c r="M16" s="52">
        <f t="shared" si="7"/>
        <v>46475</v>
      </c>
      <c r="N16" s="53">
        <f t="shared" ref="N16:N19" si="11">FORECAST(L16,$N$5:$N$14,$L$5:$L$14)</f>
        <v>138.16319135349897</v>
      </c>
      <c r="O16" s="17">
        <f t="shared" si="8"/>
        <v>6.4191470984602761E-2</v>
      </c>
    </row>
    <row r="17" spans="2:15" x14ac:dyDescent="0.4">
      <c r="B17" s="51">
        <f t="shared" si="0"/>
        <v>13</v>
      </c>
      <c r="C17" s="52">
        <f t="shared" si="1"/>
        <v>46840</v>
      </c>
      <c r="D17" s="53">
        <f t="shared" si="9"/>
        <v>301958.03636363638</v>
      </c>
      <c r="E17" s="17">
        <f t="shared" si="2"/>
        <v>6.0344881525586702E-2</v>
      </c>
      <c r="G17" s="51">
        <f t="shared" si="3"/>
        <v>13</v>
      </c>
      <c r="H17" s="52">
        <f t="shared" si="4"/>
        <v>46840</v>
      </c>
      <c r="I17" s="53">
        <f t="shared" si="10"/>
        <v>80098.854545454553</v>
      </c>
      <c r="J17" s="17">
        <f t="shared" si="5"/>
        <v>5.8741295490417844E-2</v>
      </c>
      <c r="L17" s="51">
        <f t="shared" si="6"/>
        <v>13</v>
      </c>
      <c r="M17" s="52">
        <f t="shared" si="7"/>
        <v>46840</v>
      </c>
      <c r="N17" s="53">
        <f t="shared" si="11"/>
        <v>146.49712254043351</v>
      </c>
      <c r="O17" s="17">
        <f t="shared" si="8"/>
        <v>6.0319475145964585E-2</v>
      </c>
    </row>
    <row r="18" spans="2:15" x14ac:dyDescent="0.4">
      <c r="B18" s="51">
        <f t="shared" si="0"/>
        <v>14</v>
      </c>
      <c r="C18" s="52">
        <f t="shared" si="1"/>
        <v>47205</v>
      </c>
      <c r="D18" s="53">
        <f t="shared" si="9"/>
        <v>319142.65454545454</v>
      </c>
      <c r="E18" s="17">
        <f t="shared" si="2"/>
        <v>5.6910617080326409E-2</v>
      </c>
      <c r="G18" s="51">
        <f t="shared" si="3"/>
        <v>14</v>
      </c>
      <c r="H18" s="52">
        <f t="shared" si="4"/>
        <v>47205</v>
      </c>
      <c r="I18" s="53">
        <f t="shared" si="10"/>
        <v>84542.915151515146</v>
      </c>
      <c r="J18" s="17">
        <f t="shared" si="5"/>
        <v>5.5482199230934892E-2</v>
      </c>
      <c r="L18" s="51">
        <f t="shared" si="6"/>
        <v>14</v>
      </c>
      <c r="M18" s="52">
        <f t="shared" si="7"/>
        <v>47205</v>
      </c>
      <c r="N18" s="53">
        <f t="shared" si="11"/>
        <v>154.83105372736804</v>
      </c>
      <c r="O18" s="17">
        <f t="shared" si="8"/>
        <v>5.6888019658094979E-2</v>
      </c>
    </row>
    <row r="19" spans="2:15" x14ac:dyDescent="0.4">
      <c r="B19" s="51">
        <f t="shared" si="0"/>
        <v>15</v>
      </c>
      <c r="C19" s="52">
        <f t="shared" si="1"/>
        <v>47570</v>
      </c>
      <c r="D19" s="53">
        <f t="shared" si="9"/>
        <v>336327.27272727271</v>
      </c>
      <c r="E19" s="17">
        <f t="shared" si="2"/>
        <v>5.3846196793386092E-2</v>
      </c>
      <c r="G19" s="51">
        <f t="shared" si="3"/>
        <v>15</v>
      </c>
      <c r="H19" s="52">
        <f t="shared" si="4"/>
        <v>47570</v>
      </c>
      <c r="I19" s="53">
        <f t="shared" si="10"/>
        <v>88986.975757575754</v>
      </c>
      <c r="J19" s="17">
        <f t="shared" si="5"/>
        <v>5.2565736562266707E-2</v>
      </c>
      <c r="L19" s="51">
        <f t="shared" si="6"/>
        <v>15</v>
      </c>
      <c r="M19" s="52">
        <f t="shared" si="7"/>
        <v>47570</v>
      </c>
      <c r="N19" s="53">
        <f t="shared" si="11"/>
        <v>163.16498491430255</v>
      </c>
      <c r="O19" s="17">
        <f t="shared" si="8"/>
        <v>5.3825966989859753E-2</v>
      </c>
    </row>
    <row r="20" spans="2:15" x14ac:dyDescent="0.4">
      <c r="B20" s="8"/>
      <c r="C20" s="35"/>
    </row>
    <row r="24" spans="2:15" x14ac:dyDescent="0.4">
      <c r="G24" s="54"/>
      <c r="H24" s="54"/>
      <c r="I24" s="54"/>
      <c r="J24" s="54"/>
      <c r="K24" s="54"/>
      <c r="L24" s="54"/>
    </row>
    <row r="29" spans="2:15" x14ac:dyDescent="0.4">
      <c r="G29" s="54"/>
      <c r="H29" s="54"/>
      <c r="I29" s="54"/>
      <c r="J29" s="54"/>
      <c r="K29" s="54"/>
      <c r="L29" s="54"/>
      <c r="M29" s="54"/>
      <c r="N29" s="54"/>
      <c r="O29" s="54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27E-D82E-463E-B155-D4B05173F6EB}">
  <dimension ref="B2:L44"/>
  <sheetViews>
    <sheetView showGridLines="0" tabSelected="1" topLeftCell="A9" zoomScaleNormal="100" workbookViewId="0">
      <selection activeCell="E28" sqref="E28"/>
    </sheetView>
  </sheetViews>
  <sheetFormatPr defaultRowHeight="14.6" x14ac:dyDescent="0.4"/>
  <cols>
    <col min="1" max="1" width="1.84375" customWidth="1"/>
    <col min="2" max="2" width="24.765625" customWidth="1"/>
    <col min="4" max="4" width="20" bestFit="1" customWidth="1"/>
    <col min="5" max="6" width="10.765625" bestFit="1" customWidth="1"/>
    <col min="10" max="10" width="9.3828125" bestFit="1" customWidth="1"/>
    <col min="11" max="12" width="11.3828125" bestFit="1" customWidth="1"/>
  </cols>
  <sheetData>
    <row r="2" spans="2:11" x14ac:dyDescent="0.4">
      <c r="B2" s="22" t="s">
        <v>154</v>
      </c>
      <c r="C2" s="23"/>
      <c r="D2" s="23"/>
      <c r="E2" s="23"/>
      <c r="F2" s="23"/>
      <c r="G2" s="23"/>
      <c r="H2" s="23"/>
      <c r="I2" s="23"/>
      <c r="J2" s="23"/>
      <c r="K2" s="23"/>
    </row>
    <row r="4" spans="2:11" x14ac:dyDescent="0.4">
      <c r="B4" s="55" t="s">
        <v>155</v>
      </c>
    </row>
    <row r="6" spans="2:11" x14ac:dyDescent="0.4">
      <c r="B6" s="2" t="s">
        <v>156</v>
      </c>
      <c r="J6" s="44"/>
      <c r="K6" s="44"/>
    </row>
    <row r="7" spans="2:11" x14ac:dyDescent="0.4">
      <c r="B7" s="56"/>
      <c r="C7" s="56"/>
      <c r="D7" s="56"/>
      <c r="E7" s="56"/>
      <c r="F7" s="56"/>
      <c r="G7" s="56"/>
      <c r="H7" s="56"/>
      <c r="I7" s="56"/>
    </row>
    <row r="8" spans="2:11" x14ac:dyDescent="0.4">
      <c r="G8" t="s">
        <v>162</v>
      </c>
      <c r="H8" t="s">
        <v>162</v>
      </c>
      <c r="I8" t="s">
        <v>165</v>
      </c>
      <c r="J8" t="s">
        <v>166</v>
      </c>
    </row>
    <row r="9" spans="2:11" ht="16.3" x14ac:dyDescent="0.4">
      <c r="B9" s="44" t="s">
        <v>157</v>
      </c>
      <c r="C9" s="44"/>
      <c r="D9" s="44" t="s">
        <v>158</v>
      </c>
      <c r="E9" s="44" t="s">
        <v>159</v>
      </c>
      <c r="F9" s="44" t="s">
        <v>160</v>
      </c>
      <c r="G9" s="44" t="s">
        <v>161</v>
      </c>
      <c r="H9" s="44" t="s">
        <v>163</v>
      </c>
      <c r="I9" s="44" t="s">
        <v>164</v>
      </c>
      <c r="J9" s="44" t="s">
        <v>168</v>
      </c>
      <c r="K9" s="44" t="s">
        <v>167</v>
      </c>
    </row>
    <row r="10" spans="2:11" x14ac:dyDescent="0.4">
      <c r="E10" s="47"/>
      <c r="F10" s="47"/>
    </row>
    <row r="11" spans="2:11" x14ac:dyDescent="0.4">
      <c r="B11" s="57" t="s">
        <v>170</v>
      </c>
      <c r="C11" s="57"/>
      <c r="D11" s="57" t="s">
        <v>169</v>
      </c>
      <c r="E11" s="83">
        <v>10932</v>
      </c>
      <c r="F11" s="83">
        <v>106415</v>
      </c>
      <c r="G11" s="58">
        <v>0.3</v>
      </c>
      <c r="H11" s="60">
        <f>E11/F11</f>
        <v>0.1027298783066297</v>
      </c>
      <c r="I11" s="60">
        <f>E11/(F11+E11)</f>
        <v>9.3159603568902488E-2</v>
      </c>
      <c r="J11" s="61">
        <v>1</v>
      </c>
      <c r="K11" s="62">
        <f>J11/(1+(1-G11)*H11)</f>
        <v>0.9329133477224868</v>
      </c>
    </row>
    <row r="12" spans="2:11" x14ac:dyDescent="0.4">
      <c r="B12" s="57" t="s">
        <v>171</v>
      </c>
      <c r="C12" s="57"/>
      <c r="D12" s="57" t="s">
        <v>169</v>
      </c>
      <c r="E12" s="83">
        <v>8755</v>
      </c>
      <c r="F12" s="83">
        <v>103330</v>
      </c>
      <c r="G12" s="58">
        <v>0.3</v>
      </c>
      <c r="H12" s="60">
        <f t="shared" ref="H12:H15" si="0">E12/F12</f>
        <v>8.4728539630310656E-2</v>
      </c>
      <c r="I12" s="60">
        <f t="shared" ref="I12:I15" si="1">E12/(F12+E12)</f>
        <v>7.8110362671187039E-2</v>
      </c>
      <c r="J12" s="61">
        <v>1</v>
      </c>
      <c r="K12" s="62">
        <f t="shared" ref="K12:K15" si="2">J12/(1+(1-G12)*H12)</f>
        <v>0.94401074379787786</v>
      </c>
    </row>
    <row r="13" spans="2:11" x14ac:dyDescent="0.4">
      <c r="B13" s="57" t="s">
        <v>172</v>
      </c>
      <c r="C13" s="57"/>
      <c r="D13" s="57" t="s">
        <v>169</v>
      </c>
      <c r="E13" s="83">
        <v>16164</v>
      </c>
      <c r="F13" s="83">
        <v>85586</v>
      </c>
      <c r="G13" s="58">
        <v>0.3</v>
      </c>
      <c r="H13" s="60">
        <f t="shared" si="0"/>
        <v>0.18886266445446684</v>
      </c>
      <c r="I13" s="60">
        <f t="shared" si="1"/>
        <v>0.15885995085995086</v>
      </c>
      <c r="J13" s="61">
        <v>1</v>
      </c>
      <c r="K13" s="62">
        <f t="shared" si="2"/>
        <v>0.88323316216171588</v>
      </c>
    </row>
    <row r="14" spans="2:11" x14ac:dyDescent="0.4">
      <c r="B14" s="57" t="s">
        <v>173</v>
      </c>
      <c r="C14" s="57"/>
      <c r="D14" s="57" t="s">
        <v>169</v>
      </c>
      <c r="E14" s="83">
        <v>6780</v>
      </c>
      <c r="F14" s="83">
        <v>71249</v>
      </c>
      <c r="G14" s="58">
        <v>0.3</v>
      </c>
      <c r="H14" s="60">
        <f t="shared" si="0"/>
        <v>9.5159230304986742E-2</v>
      </c>
      <c r="I14" s="60">
        <f t="shared" si="1"/>
        <v>8.6890771379871584E-2</v>
      </c>
      <c r="J14" s="61">
        <v>1</v>
      </c>
      <c r="K14" s="62">
        <f t="shared" si="2"/>
        <v>0.93754852292914004</v>
      </c>
    </row>
    <row r="15" spans="2:11" x14ac:dyDescent="0.4">
      <c r="B15" s="57" t="s">
        <v>174</v>
      </c>
      <c r="C15" s="57"/>
      <c r="D15" s="57" t="s">
        <v>169</v>
      </c>
      <c r="E15" s="83">
        <v>2383</v>
      </c>
      <c r="F15" s="83">
        <v>23404</v>
      </c>
      <c r="G15" s="58">
        <v>0.3</v>
      </c>
      <c r="H15" s="60">
        <f t="shared" si="0"/>
        <v>0.10182020167492736</v>
      </c>
      <c r="I15" s="60">
        <f t="shared" si="1"/>
        <v>9.2410904719432266E-2</v>
      </c>
      <c r="J15" s="61">
        <v>1</v>
      </c>
      <c r="K15" s="62">
        <f t="shared" si="2"/>
        <v>0.93346787863800806</v>
      </c>
    </row>
    <row r="17" spans="2:12" x14ac:dyDescent="0.4">
      <c r="F17" s="63" t="s">
        <v>175</v>
      </c>
      <c r="G17" s="65">
        <f>AVERAGE(G11:G15)</f>
        <v>0.3</v>
      </c>
      <c r="H17" s="67">
        <f>AVERAGE(H11:H15)</f>
        <v>0.11466010287426424</v>
      </c>
      <c r="I17" s="67">
        <f>AVERAGE(I11:I15)</f>
        <v>0.10188631863986883</v>
      </c>
      <c r="J17" s="69">
        <f>AVERAGE(J11:J15)</f>
        <v>1</v>
      </c>
      <c r="K17" s="69">
        <f>AVERAGE(K11:K15)</f>
        <v>0.92623473104984577</v>
      </c>
    </row>
    <row r="18" spans="2:12" x14ac:dyDescent="0.4">
      <c r="F18" s="64" t="s">
        <v>151</v>
      </c>
      <c r="G18" s="66">
        <f>MEDIAN(G11:G15)</f>
        <v>0.3</v>
      </c>
      <c r="H18" s="68">
        <f>MEDIAN(H11:H15)</f>
        <v>0.10182020167492736</v>
      </c>
      <c r="I18" s="68">
        <f>MEDIAN(I11:I15)</f>
        <v>9.2410904719432266E-2</v>
      </c>
      <c r="J18" s="70">
        <f>MEDIAN(J11:J15)</f>
        <v>1</v>
      </c>
      <c r="K18" s="70">
        <f>MEDIAN(K11:K15)</f>
        <v>0.93346787863800806</v>
      </c>
    </row>
    <row r="19" spans="2:12" x14ac:dyDescent="0.4">
      <c r="I19" t="s">
        <v>55</v>
      </c>
    </row>
    <row r="22" spans="2:12" x14ac:dyDescent="0.4">
      <c r="B22" s="74" t="s">
        <v>176</v>
      </c>
      <c r="C22" s="64"/>
      <c r="D22" s="2"/>
      <c r="G22" s="74" t="s">
        <v>180</v>
      </c>
      <c r="H22" s="74"/>
      <c r="I22" s="64"/>
      <c r="J22" s="64"/>
      <c r="K22" s="64"/>
    </row>
    <row r="23" spans="2:12" x14ac:dyDescent="0.4">
      <c r="B23" s="8"/>
      <c r="C23" s="13"/>
      <c r="G23" s="8"/>
      <c r="H23" s="8"/>
      <c r="J23" s="13"/>
      <c r="K23" s="13"/>
    </row>
    <row r="24" spans="2:12" x14ac:dyDescent="0.4">
      <c r="B24" s="8" t="s">
        <v>177</v>
      </c>
      <c r="C24" s="76">
        <v>8.4000000000000005E-2</v>
      </c>
      <c r="G24" s="8" t="s">
        <v>181</v>
      </c>
      <c r="H24" s="8"/>
      <c r="J24" s="13"/>
      <c r="K24" s="78">
        <v>6.5000000000000002E-2</v>
      </c>
    </row>
    <row r="25" spans="2:12" x14ac:dyDescent="0.4">
      <c r="B25" s="8" t="s">
        <v>178</v>
      </c>
      <c r="C25" s="76">
        <v>0.3</v>
      </c>
      <c r="G25" s="8" t="s">
        <v>182</v>
      </c>
      <c r="H25" s="8"/>
      <c r="J25" s="13"/>
      <c r="K25" s="78">
        <v>0.08</v>
      </c>
    </row>
    <row r="26" spans="2:12" ht="16.3" x14ac:dyDescent="0.4">
      <c r="B26" s="75" t="s">
        <v>179</v>
      </c>
      <c r="C26" s="77">
        <f>C24*(1-C25)</f>
        <v>5.8799999999999998E-2</v>
      </c>
      <c r="G26" s="8" t="s">
        <v>184</v>
      </c>
      <c r="H26" s="8"/>
      <c r="J26" s="13"/>
      <c r="K26" s="25">
        <f>K36</f>
        <v>1.4164360419333253</v>
      </c>
    </row>
    <row r="27" spans="2:12" x14ac:dyDescent="0.4">
      <c r="G27" s="75" t="s">
        <v>185</v>
      </c>
      <c r="H27" s="75"/>
      <c r="I27" s="71"/>
      <c r="J27" s="79"/>
      <c r="K27" s="77">
        <f>K24+K26*K25</f>
        <v>0.17831488335466603</v>
      </c>
    </row>
    <row r="28" spans="2:12" x14ac:dyDescent="0.4">
      <c r="G28" s="8"/>
      <c r="H28" s="8"/>
    </row>
    <row r="29" spans="2:12" x14ac:dyDescent="0.4">
      <c r="L29" t="s">
        <v>55</v>
      </c>
    </row>
    <row r="31" spans="2:12" x14ac:dyDescent="0.4">
      <c r="B31" s="64" t="s">
        <v>186</v>
      </c>
      <c r="C31" s="64"/>
      <c r="D31" s="64"/>
      <c r="E31" s="44"/>
      <c r="G31" s="64" t="s">
        <v>183</v>
      </c>
      <c r="H31" s="64"/>
      <c r="I31" s="64"/>
      <c r="J31" s="44"/>
      <c r="K31" s="44"/>
    </row>
    <row r="32" spans="2:12" x14ac:dyDescent="0.4">
      <c r="B32" s="8"/>
      <c r="C32" s="13"/>
      <c r="D32" s="13"/>
      <c r="E32" s="13"/>
    </row>
    <row r="33" spans="2:11" x14ac:dyDescent="0.4">
      <c r="B33" s="8"/>
      <c r="C33" s="13"/>
      <c r="D33" s="72" t="s">
        <v>187</v>
      </c>
      <c r="E33" s="72" t="s">
        <v>188</v>
      </c>
      <c r="G33" t="s">
        <v>190</v>
      </c>
      <c r="K33" s="24">
        <f>K18</f>
        <v>0.93346787863800806</v>
      </c>
    </row>
    <row r="34" spans="2:11" x14ac:dyDescent="0.4">
      <c r="B34" s="8" t="s">
        <v>159</v>
      </c>
      <c r="C34" s="84">
        <v>17440</v>
      </c>
      <c r="D34" s="26">
        <f>C34/$C$36</f>
        <v>0.35087013378935722</v>
      </c>
      <c r="E34" s="76">
        <v>0.42499999999999999</v>
      </c>
      <c r="G34" t="s">
        <v>191</v>
      </c>
      <c r="K34" s="36">
        <f>E38</f>
        <v>0.73913043478260876</v>
      </c>
    </row>
    <row r="35" spans="2:11" x14ac:dyDescent="0.4">
      <c r="B35" s="8" t="s">
        <v>44</v>
      </c>
      <c r="C35" s="84">
        <v>32265</v>
      </c>
      <c r="D35" s="26">
        <f>C35/$C$36</f>
        <v>0.64912986621064284</v>
      </c>
      <c r="E35" s="78">
        <f>E36-E34</f>
        <v>0.57499999999999996</v>
      </c>
      <c r="G35" t="s">
        <v>178</v>
      </c>
      <c r="K35" s="36">
        <f>C25</f>
        <v>0.3</v>
      </c>
    </row>
    <row r="36" spans="2:11" x14ac:dyDescent="0.4">
      <c r="B36" s="75" t="s">
        <v>189</v>
      </c>
      <c r="C36" s="85">
        <f>SUM(C34:C35)</f>
        <v>49705</v>
      </c>
      <c r="D36" s="80">
        <f>C36/$C$36</f>
        <v>1</v>
      </c>
      <c r="E36" s="81">
        <f>D36</f>
        <v>1</v>
      </c>
      <c r="G36" s="71" t="s">
        <v>183</v>
      </c>
      <c r="H36" s="71"/>
      <c r="I36" s="71"/>
      <c r="J36" s="71"/>
      <c r="K36" s="73">
        <f>K33*(1+(1-K35)*K34)</f>
        <v>1.4164360419333253</v>
      </c>
    </row>
    <row r="37" spans="2:11" x14ac:dyDescent="0.4">
      <c r="B37" s="8"/>
      <c r="C37" s="13"/>
      <c r="D37" s="13"/>
      <c r="E37" s="13"/>
    </row>
    <row r="38" spans="2:11" x14ac:dyDescent="0.4">
      <c r="B38" s="8" t="s">
        <v>192</v>
      </c>
      <c r="C38" s="13"/>
      <c r="D38" s="82">
        <f>D34/D35</f>
        <v>0.54052378738571205</v>
      </c>
      <c r="E38" s="82">
        <f>E34/E35</f>
        <v>0.73913043478260876</v>
      </c>
    </row>
    <row r="39" spans="2:11" x14ac:dyDescent="0.4">
      <c r="G39" s="64" t="s">
        <v>154</v>
      </c>
      <c r="H39" s="64"/>
      <c r="I39" s="64"/>
      <c r="J39" s="44"/>
      <c r="K39" s="44"/>
    </row>
    <row r="40" spans="2:11" x14ac:dyDescent="0.4">
      <c r="B40" s="86" t="s">
        <v>197</v>
      </c>
      <c r="J40" s="13" t="s">
        <v>194</v>
      </c>
      <c r="K40" s="13" t="s">
        <v>195</v>
      </c>
    </row>
    <row r="41" spans="2:11" x14ac:dyDescent="0.4">
      <c r="B41" s="87" t="s">
        <v>198</v>
      </c>
      <c r="C41" s="88"/>
      <c r="D41" s="88"/>
      <c r="J41" s="13"/>
      <c r="K41" s="13"/>
    </row>
    <row r="42" spans="2:11" x14ac:dyDescent="0.4">
      <c r="B42" s="87" t="s">
        <v>199</v>
      </c>
      <c r="C42" s="88"/>
      <c r="D42" s="88"/>
      <c r="G42" t="s">
        <v>193</v>
      </c>
      <c r="J42" s="78">
        <f>C26</f>
        <v>5.8799999999999998E-2</v>
      </c>
      <c r="K42" s="78">
        <f>E34</f>
        <v>0.42499999999999999</v>
      </c>
    </row>
    <row r="43" spans="2:11" x14ac:dyDescent="0.4">
      <c r="B43" s="87" t="s">
        <v>200</v>
      </c>
      <c r="C43" s="88"/>
      <c r="D43" s="88"/>
      <c r="G43" t="s">
        <v>163</v>
      </c>
      <c r="J43" s="78">
        <f>K27</f>
        <v>0.17831488335466603</v>
      </c>
      <c r="K43" s="78">
        <f>E35</f>
        <v>0.57499999999999996</v>
      </c>
    </row>
    <row r="44" spans="2:11" x14ac:dyDescent="0.4">
      <c r="B44" s="87" t="s">
        <v>201</v>
      </c>
      <c r="C44" s="88"/>
      <c r="D44" s="88"/>
      <c r="G44" s="71" t="s">
        <v>196</v>
      </c>
      <c r="H44" s="71"/>
      <c r="I44" s="71"/>
      <c r="J44" s="79"/>
      <c r="K44" s="80">
        <f>SUMPRODUCT( J42:J43,K42:K43)</f>
        <v>0.12752105792893295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2"/>
  <sheetViews>
    <sheetView zoomScale="120" zoomScaleNormal="120" zoomScalePageLayoutView="120" workbookViewId="0">
      <pane xSplit="1" ySplit="1" topLeftCell="B50" activePane="bottomRight" state="frozen"/>
      <selection activeCell="C4" sqref="C4"/>
      <selection pane="topRight" activeCell="C4" sqref="C4"/>
      <selection pane="bottomLeft" activeCell="C4" sqref="C4"/>
      <selection pane="bottomRight" activeCell="B73" sqref="B73:K73"/>
    </sheetView>
  </sheetViews>
  <sheetFormatPr defaultColWidth="8.84375" defaultRowHeight="14.6" x14ac:dyDescent="0.4"/>
  <cols>
    <col min="1" max="1" width="25.61328125" style="3" bestFit="1" customWidth="1"/>
    <col min="2" max="11" width="13.4609375" style="3" bestFit="1" customWidth="1"/>
    <col min="12" max="16384" width="8.84375" style="3"/>
  </cols>
  <sheetData>
    <row r="1" spans="1:11" s="1" customFormat="1" x14ac:dyDescent="0.4">
      <c r="A1" s="1" t="s">
        <v>0</v>
      </c>
      <c r="B1" s="1" t="s">
        <v>33</v>
      </c>
      <c r="E1" s="130" t="str">
        <f>IF(B2&lt;&gt;B3, "A NEW VERSION OF THE WORKSHEET IS AVAILABLE", "")</f>
        <v/>
      </c>
      <c r="F1" s="130"/>
      <c r="G1" s="130"/>
      <c r="H1" s="130"/>
      <c r="I1" s="130"/>
      <c r="J1" s="130"/>
      <c r="K1" s="130"/>
    </row>
    <row r="2" spans="1:11" x14ac:dyDescent="0.4">
      <c r="A2" s="1" t="s">
        <v>31</v>
      </c>
      <c r="B2" s="3">
        <v>2.1</v>
      </c>
      <c r="E2" s="131" t="s">
        <v>21</v>
      </c>
      <c r="F2" s="131"/>
      <c r="G2" s="131"/>
      <c r="H2" s="131"/>
      <c r="I2" s="131"/>
      <c r="J2" s="131"/>
      <c r="K2" s="131"/>
    </row>
    <row r="3" spans="1:11" x14ac:dyDescent="0.4">
      <c r="A3" s="1" t="s">
        <v>32</v>
      </c>
      <c r="B3" s="3">
        <v>2.1</v>
      </c>
    </row>
    <row r="4" spans="1:11" x14ac:dyDescent="0.4">
      <c r="A4" s="1"/>
    </row>
    <row r="5" spans="1:11" x14ac:dyDescent="0.4">
      <c r="A5" s="1" t="s">
        <v>34</v>
      </c>
    </row>
    <row r="6" spans="1:11" x14ac:dyDescent="0.4">
      <c r="A6" s="3" t="s">
        <v>27</v>
      </c>
      <c r="B6" s="3">
        <f>IF(B9&gt;0, B9/B8, 0)</f>
        <v>361.84903504364166</v>
      </c>
    </row>
    <row r="7" spans="1:11" x14ac:dyDescent="0.4">
      <c r="A7" s="3" t="s">
        <v>16</v>
      </c>
      <c r="B7">
        <v>1</v>
      </c>
    </row>
    <row r="8" spans="1:11" x14ac:dyDescent="0.4">
      <c r="A8" s="3" t="s">
        <v>28</v>
      </c>
      <c r="B8">
        <v>2686.65</v>
      </c>
    </row>
    <row r="9" spans="1:11" x14ac:dyDescent="0.4">
      <c r="A9" s="3" t="s">
        <v>44</v>
      </c>
      <c r="B9">
        <v>972161.71</v>
      </c>
    </row>
    <row r="15" spans="1:11" x14ac:dyDescent="0.4">
      <c r="A15" s="1" t="s">
        <v>22</v>
      </c>
    </row>
    <row r="16" spans="1:11" s="7" customFormat="1" x14ac:dyDescent="0.4">
      <c r="A16" s="6" t="s">
        <v>23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4" customFormat="1" x14ac:dyDescent="0.4">
      <c r="A17" s="4" t="s">
        <v>1</v>
      </c>
      <c r="B17">
        <v>108646</v>
      </c>
      <c r="C17">
        <v>117966</v>
      </c>
      <c r="D17">
        <v>123104</v>
      </c>
      <c r="E17">
        <v>146463</v>
      </c>
      <c r="F17">
        <v>156949</v>
      </c>
      <c r="G17">
        <v>164177</v>
      </c>
      <c r="H17">
        <v>191754</v>
      </c>
      <c r="I17">
        <v>225458</v>
      </c>
      <c r="J17">
        <v>240893</v>
      </c>
      <c r="K17">
        <v>255324</v>
      </c>
    </row>
    <row r="18" spans="1:11" s="4" customFormat="1" x14ac:dyDescent="0.4">
      <c r="A18" s="3" t="s">
        <v>45</v>
      </c>
      <c r="C18">
        <v>94</v>
      </c>
      <c r="D18">
        <v>86</v>
      </c>
      <c r="E18">
        <v>40</v>
      </c>
      <c r="F18">
        <v>18</v>
      </c>
      <c r="G18">
        <v>14</v>
      </c>
      <c r="H18">
        <v>29</v>
      </c>
      <c r="I18">
        <v>37</v>
      </c>
      <c r="J18">
        <v>42</v>
      </c>
      <c r="K18">
        <v>49</v>
      </c>
    </row>
    <row r="19" spans="1:11" s="4" customFormat="1" x14ac:dyDescent="0.4">
      <c r="A19" s="3" t="s">
        <v>46</v>
      </c>
      <c r="C19">
        <v>1</v>
      </c>
    </row>
    <row r="20" spans="1:11" s="4" customFormat="1" x14ac:dyDescent="0.4">
      <c r="A20" s="3" t="s">
        <v>47</v>
      </c>
    </row>
    <row r="21" spans="1:11" s="4" customFormat="1" x14ac:dyDescent="0.4">
      <c r="A21" s="3" t="s">
        <v>48</v>
      </c>
      <c r="B21">
        <v>2571</v>
      </c>
      <c r="C21">
        <v>2715</v>
      </c>
      <c r="D21">
        <v>2614</v>
      </c>
      <c r="E21">
        <v>2230</v>
      </c>
      <c r="F21">
        <v>1887</v>
      </c>
      <c r="G21">
        <v>1448</v>
      </c>
      <c r="H21">
        <v>1134</v>
      </c>
      <c r="I21">
        <v>1844</v>
      </c>
      <c r="J21">
        <v>3660</v>
      </c>
      <c r="K21">
        <v>11599</v>
      </c>
    </row>
    <row r="22" spans="1:11" s="4" customFormat="1" x14ac:dyDescent="0.4">
      <c r="A22" s="3" t="s">
        <v>49</v>
      </c>
      <c r="B22">
        <v>55348</v>
      </c>
      <c r="C22">
        <v>61621</v>
      </c>
      <c r="D22">
        <v>66396</v>
      </c>
      <c r="E22">
        <v>78246</v>
      </c>
      <c r="F22">
        <v>85952</v>
      </c>
      <c r="G22">
        <v>91814</v>
      </c>
      <c r="H22">
        <v>107554</v>
      </c>
      <c r="I22">
        <v>127522</v>
      </c>
      <c r="J22">
        <v>140131</v>
      </c>
      <c r="K22">
        <v>145788</v>
      </c>
    </row>
    <row r="23" spans="1:11" s="4" customFormat="1" x14ac:dyDescent="0.4">
      <c r="A23" s="3" t="s">
        <v>50</v>
      </c>
      <c r="B23">
        <v>15589</v>
      </c>
      <c r="C23">
        <v>16392</v>
      </c>
      <c r="D23">
        <v>16808</v>
      </c>
      <c r="E23">
        <v>20387</v>
      </c>
      <c r="F23">
        <v>20527</v>
      </c>
      <c r="G23">
        <v>18322</v>
      </c>
      <c r="H23">
        <v>23187</v>
      </c>
      <c r="I23">
        <v>28913</v>
      </c>
      <c r="J23">
        <v>24151</v>
      </c>
      <c r="K23">
        <v>20729</v>
      </c>
    </row>
    <row r="24" spans="1:11" s="4" customFormat="1" x14ac:dyDescent="0.4">
      <c r="A24" s="3" t="s">
        <v>51</v>
      </c>
      <c r="B24">
        <v>4461</v>
      </c>
      <c r="C24">
        <v>4834</v>
      </c>
      <c r="D24">
        <v>4684</v>
      </c>
      <c r="E24">
        <v>6054</v>
      </c>
      <c r="F24">
        <v>6456</v>
      </c>
      <c r="G24">
        <v>6033</v>
      </c>
      <c r="H24">
        <v>6793</v>
      </c>
      <c r="I24">
        <v>7883</v>
      </c>
      <c r="J24">
        <v>8613</v>
      </c>
      <c r="K24">
        <v>9752</v>
      </c>
    </row>
    <row r="25" spans="1:11" s="4" customFormat="1" x14ac:dyDescent="0.4">
      <c r="A25" s="4" t="s">
        <v>4</v>
      </c>
      <c r="B25">
        <v>3084</v>
      </c>
      <c r="C25">
        <v>4221</v>
      </c>
      <c r="D25">
        <v>3642</v>
      </c>
      <c r="E25">
        <v>4311</v>
      </c>
      <c r="F25">
        <v>4592</v>
      </c>
      <c r="G25">
        <v>1916</v>
      </c>
      <c r="H25">
        <v>4018</v>
      </c>
      <c r="I25">
        <v>3449</v>
      </c>
      <c r="J25">
        <v>3464</v>
      </c>
      <c r="K25">
        <v>3962</v>
      </c>
    </row>
    <row r="26" spans="1:11" s="4" customFormat="1" x14ac:dyDescent="0.4">
      <c r="A26" s="4" t="s">
        <v>5</v>
      </c>
      <c r="B26">
        <v>1888</v>
      </c>
      <c r="C26">
        <v>1987</v>
      </c>
      <c r="D26">
        <v>2014</v>
      </c>
      <c r="E26">
        <v>2056</v>
      </c>
      <c r="F26">
        <v>3529</v>
      </c>
      <c r="G26">
        <v>4065</v>
      </c>
      <c r="H26">
        <v>4604</v>
      </c>
      <c r="I26">
        <v>5022</v>
      </c>
      <c r="J26">
        <v>4985</v>
      </c>
      <c r="K26">
        <v>5242</v>
      </c>
    </row>
    <row r="27" spans="1:11" s="4" customFormat="1" x14ac:dyDescent="0.4">
      <c r="A27" s="4" t="s">
        <v>6</v>
      </c>
      <c r="B27">
        <v>33</v>
      </c>
      <c r="C27">
        <v>32</v>
      </c>
      <c r="D27">
        <v>52</v>
      </c>
      <c r="E27">
        <v>198</v>
      </c>
      <c r="F27">
        <v>924</v>
      </c>
      <c r="G27">
        <v>637</v>
      </c>
      <c r="H27">
        <v>784</v>
      </c>
      <c r="I27">
        <v>779</v>
      </c>
      <c r="J27">
        <v>778</v>
      </c>
      <c r="K27">
        <v>796</v>
      </c>
    </row>
    <row r="28" spans="1:11" s="4" customFormat="1" x14ac:dyDescent="0.4">
      <c r="A28" s="4" t="s">
        <v>7</v>
      </c>
      <c r="B28">
        <v>31840</v>
      </c>
      <c r="C28">
        <v>34513</v>
      </c>
      <c r="D28">
        <v>34092</v>
      </c>
      <c r="E28">
        <v>41563</v>
      </c>
      <c r="F28">
        <v>42248</v>
      </c>
      <c r="G28">
        <v>43760</v>
      </c>
      <c r="H28">
        <v>51687</v>
      </c>
      <c r="I28">
        <v>56907</v>
      </c>
      <c r="J28">
        <v>61997</v>
      </c>
      <c r="K28">
        <v>65331</v>
      </c>
    </row>
    <row r="29" spans="1:11" s="4" customFormat="1" x14ac:dyDescent="0.4">
      <c r="A29" s="4" t="s">
        <v>8</v>
      </c>
      <c r="B29">
        <v>7502</v>
      </c>
      <c r="C29">
        <v>8156</v>
      </c>
      <c r="D29">
        <v>8212</v>
      </c>
      <c r="E29">
        <v>10001</v>
      </c>
      <c r="F29">
        <v>9801</v>
      </c>
      <c r="G29">
        <v>11198</v>
      </c>
      <c r="H29">
        <v>13238</v>
      </c>
      <c r="I29">
        <v>14604</v>
      </c>
      <c r="J29">
        <v>15898</v>
      </c>
      <c r="K29">
        <v>16534</v>
      </c>
    </row>
    <row r="30" spans="1:11" s="4" customFormat="1" x14ac:dyDescent="0.4">
      <c r="A30" s="4" t="s">
        <v>9</v>
      </c>
      <c r="B30">
        <v>24270</v>
      </c>
      <c r="C30">
        <v>26289</v>
      </c>
      <c r="D30">
        <v>25826</v>
      </c>
      <c r="E30">
        <v>31472</v>
      </c>
      <c r="F30">
        <v>32340</v>
      </c>
      <c r="G30">
        <v>32430</v>
      </c>
      <c r="H30">
        <v>38327</v>
      </c>
      <c r="I30">
        <v>42147</v>
      </c>
      <c r="J30">
        <v>45908</v>
      </c>
      <c r="K30">
        <v>48553</v>
      </c>
    </row>
    <row r="31" spans="1:11" s="4" customFormat="1" x14ac:dyDescent="0.4">
      <c r="A31" s="4" t="s">
        <v>35</v>
      </c>
      <c r="B31">
        <v>8569.5</v>
      </c>
      <c r="C31">
        <v>9259</v>
      </c>
      <c r="D31">
        <v>9550</v>
      </c>
      <c r="E31">
        <v>11250</v>
      </c>
      <c r="F31">
        <v>27375</v>
      </c>
      <c r="G31">
        <v>14060</v>
      </c>
      <c r="H31">
        <v>15738</v>
      </c>
      <c r="I31">
        <v>42090</v>
      </c>
      <c r="J31">
        <v>26426</v>
      </c>
      <c r="K31">
        <v>45612</v>
      </c>
    </row>
    <row r="32" spans="1:11" x14ac:dyDescent="0.4">
      <c r="A32" s="4" t="s">
        <v>203</v>
      </c>
      <c r="B32" s="3">
        <f>B30+B29+B27+B26</f>
        <v>33693</v>
      </c>
      <c r="C32" s="3">
        <f t="shared" ref="C32:K32" si="0">C30+C29+C27+C26</f>
        <v>36464</v>
      </c>
      <c r="D32" s="3">
        <f t="shared" si="0"/>
        <v>36104</v>
      </c>
      <c r="E32" s="3">
        <f t="shared" si="0"/>
        <v>43727</v>
      </c>
      <c r="F32" s="3">
        <f t="shared" si="0"/>
        <v>46594</v>
      </c>
      <c r="G32" s="3">
        <f t="shared" si="0"/>
        <v>48330</v>
      </c>
      <c r="H32" s="3">
        <f t="shared" si="0"/>
        <v>56953</v>
      </c>
      <c r="I32" s="3">
        <f t="shared" si="0"/>
        <v>62552</v>
      </c>
      <c r="J32" s="3">
        <f t="shared" si="0"/>
        <v>67569</v>
      </c>
      <c r="K32" s="3">
        <f t="shared" si="0"/>
        <v>71125</v>
      </c>
    </row>
    <row r="33" spans="1:11" x14ac:dyDescent="0.4">
      <c r="A33" s="4"/>
    </row>
    <row r="34" spans="1:11" x14ac:dyDescent="0.4">
      <c r="A34" s="4"/>
    </row>
    <row r="35" spans="1:11" x14ac:dyDescent="0.4">
      <c r="A35" s="4"/>
    </row>
    <row r="36" spans="1:11" x14ac:dyDescent="0.4">
      <c r="A36" s="4"/>
    </row>
    <row r="37" spans="1:11" x14ac:dyDescent="0.4">
      <c r="A37" s="4"/>
    </row>
    <row r="38" spans="1:11" x14ac:dyDescent="0.4">
      <c r="A38" s="4"/>
    </row>
    <row r="39" spans="1:11" x14ac:dyDescent="0.4">
      <c r="A39" s="1" t="s">
        <v>24</v>
      </c>
    </row>
    <row r="40" spans="1:11" s="7" customFormat="1" x14ac:dyDescent="0.4">
      <c r="A40" s="6" t="s">
        <v>23</v>
      </c>
      <c r="B40" s="5">
        <v>45199</v>
      </c>
      <c r="C40" s="5">
        <v>45291</v>
      </c>
      <c r="D40" s="5">
        <v>45382</v>
      </c>
      <c r="E40" s="5">
        <v>45473</v>
      </c>
      <c r="F40" s="5">
        <v>45565</v>
      </c>
      <c r="G40" s="5">
        <v>45657</v>
      </c>
      <c r="H40" s="5">
        <v>45747</v>
      </c>
      <c r="I40" s="5">
        <v>45838</v>
      </c>
      <c r="J40" s="5">
        <v>45930</v>
      </c>
      <c r="K40" s="5">
        <v>46022</v>
      </c>
    </row>
    <row r="41" spans="1:11" s="4" customFormat="1" x14ac:dyDescent="0.4">
      <c r="A41" s="4" t="s">
        <v>1</v>
      </c>
      <c r="B41">
        <v>59692</v>
      </c>
      <c r="C41">
        <v>60583</v>
      </c>
      <c r="D41">
        <v>61237</v>
      </c>
      <c r="E41">
        <v>62613</v>
      </c>
      <c r="F41">
        <v>64259</v>
      </c>
      <c r="G41">
        <v>63973</v>
      </c>
      <c r="H41">
        <v>64479</v>
      </c>
      <c r="I41">
        <v>63437</v>
      </c>
      <c r="J41">
        <v>65799</v>
      </c>
      <c r="K41">
        <v>67087</v>
      </c>
    </row>
    <row r="42" spans="1:11" s="4" customFormat="1" x14ac:dyDescent="0.4">
      <c r="A42" s="4" t="s">
        <v>2</v>
      </c>
      <c r="B42">
        <v>43946</v>
      </c>
      <c r="C42">
        <v>44195</v>
      </c>
      <c r="D42">
        <v>44073</v>
      </c>
      <c r="E42">
        <v>45951</v>
      </c>
      <c r="F42">
        <v>47528</v>
      </c>
      <c r="G42">
        <v>46939</v>
      </c>
      <c r="H42">
        <v>47499</v>
      </c>
      <c r="I42">
        <v>46562</v>
      </c>
      <c r="J42">
        <v>47821</v>
      </c>
      <c r="K42">
        <v>48818</v>
      </c>
    </row>
    <row r="43" spans="1:11" s="4" customFormat="1" x14ac:dyDescent="0.4">
      <c r="A43" s="4" t="s">
        <v>4</v>
      </c>
      <c r="B43">
        <v>1006</v>
      </c>
      <c r="C43">
        <v>-96</v>
      </c>
      <c r="D43">
        <v>1157</v>
      </c>
      <c r="E43">
        <v>962</v>
      </c>
      <c r="F43">
        <v>729</v>
      </c>
      <c r="G43">
        <v>1243</v>
      </c>
      <c r="H43">
        <v>1028</v>
      </c>
      <c r="I43">
        <v>1660</v>
      </c>
      <c r="J43">
        <v>-268</v>
      </c>
      <c r="K43">
        <v>-2273</v>
      </c>
    </row>
    <row r="44" spans="1:11" s="4" customFormat="1" x14ac:dyDescent="0.4">
      <c r="A44" s="4" t="s">
        <v>5</v>
      </c>
      <c r="B44">
        <v>1263</v>
      </c>
      <c r="C44">
        <v>1233</v>
      </c>
      <c r="D44">
        <v>1246</v>
      </c>
      <c r="E44">
        <v>1220</v>
      </c>
      <c r="F44">
        <v>1266</v>
      </c>
      <c r="G44">
        <v>1377</v>
      </c>
      <c r="H44">
        <v>1379</v>
      </c>
      <c r="I44">
        <v>1361</v>
      </c>
      <c r="J44">
        <v>1413</v>
      </c>
      <c r="K44">
        <v>1380</v>
      </c>
    </row>
    <row r="45" spans="1:11" s="4" customFormat="1" x14ac:dyDescent="0.4">
      <c r="A45" s="4" t="s">
        <v>6</v>
      </c>
      <c r="B45">
        <v>159</v>
      </c>
      <c r="C45">
        <v>230</v>
      </c>
      <c r="D45">
        <v>226</v>
      </c>
      <c r="E45">
        <v>173</v>
      </c>
      <c r="F45">
        <v>162</v>
      </c>
      <c r="G45">
        <v>234</v>
      </c>
      <c r="H45">
        <v>227</v>
      </c>
      <c r="I45">
        <v>195</v>
      </c>
      <c r="J45">
        <v>229</v>
      </c>
      <c r="K45">
        <v>538</v>
      </c>
    </row>
    <row r="46" spans="1:11" s="4" customFormat="1" x14ac:dyDescent="0.4">
      <c r="A46" s="4" t="s">
        <v>7</v>
      </c>
      <c r="B46">
        <v>15330</v>
      </c>
      <c r="C46">
        <v>14829</v>
      </c>
      <c r="D46">
        <v>16849</v>
      </c>
      <c r="E46">
        <v>16231</v>
      </c>
      <c r="F46">
        <v>16032</v>
      </c>
      <c r="G46">
        <v>16666</v>
      </c>
      <c r="H46">
        <v>16402</v>
      </c>
      <c r="I46">
        <v>16979</v>
      </c>
      <c r="J46">
        <v>16068</v>
      </c>
      <c r="K46">
        <v>14078</v>
      </c>
    </row>
    <row r="47" spans="1:11" s="4" customFormat="1" x14ac:dyDescent="0.4">
      <c r="A47" s="4" t="s">
        <v>8</v>
      </c>
      <c r="B47">
        <v>3950</v>
      </c>
      <c r="C47">
        <v>3732</v>
      </c>
      <c r="D47">
        <v>4347</v>
      </c>
      <c r="E47">
        <v>4126</v>
      </c>
      <c r="F47">
        <v>4077</v>
      </c>
      <c r="G47">
        <v>4222</v>
      </c>
      <c r="H47">
        <v>4109</v>
      </c>
      <c r="I47">
        <v>4160</v>
      </c>
      <c r="J47">
        <v>3937</v>
      </c>
      <c r="K47">
        <v>3358</v>
      </c>
    </row>
    <row r="48" spans="1:11" s="4" customFormat="1" x14ac:dyDescent="0.4">
      <c r="A48" s="4" t="s">
        <v>9</v>
      </c>
      <c r="B48">
        <v>11342</v>
      </c>
      <c r="C48">
        <v>11058</v>
      </c>
      <c r="D48">
        <v>12434</v>
      </c>
      <c r="E48">
        <v>12040</v>
      </c>
      <c r="F48">
        <v>11909</v>
      </c>
      <c r="G48">
        <v>12380</v>
      </c>
      <c r="H48">
        <v>12224</v>
      </c>
      <c r="I48">
        <v>12760</v>
      </c>
      <c r="J48">
        <v>12075</v>
      </c>
      <c r="K48">
        <v>10657</v>
      </c>
    </row>
    <row r="49" spans="1:11" x14ac:dyDescent="0.4">
      <c r="A49" s="4" t="s">
        <v>3</v>
      </c>
      <c r="B49">
        <v>15746</v>
      </c>
      <c r="C49">
        <v>16388</v>
      </c>
      <c r="D49">
        <v>17164</v>
      </c>
      <c r="E49">
        <v>16662</v>
      </c>
      <c r="F49">
        <v>16731</v>
      </c>
      <c r="G49">
        <v>17034</v>
      </c>
      <c r="H49">
        <v>16980</v>
      </c>
      <c r="I49">
        <v>16875</v>
      </c>
      <c r="J49">
        <v>17978</v>
      </c>
      <c r="K49">
        <v>18269</v>
      </c>
    </row>
    <row r="50" spans="1:11" x14ac:dyDescent="0.4">
      <c r="A50" s="4"/>
    </row>
    <row r="51" spans="1:11" x14ac:dyDescent="0.4">
      <c r="A51" s="4"/>
    </row>
    <row r="52" spans="1:11" x14ac:dyDescent="0.4">
      <c r="A52" s="4"/>
    </row>
    <row r="53" spans="1:11" x14ac:dyDescent="0.4">
      <c r="A53" s="4"/>
    </row>
    <row r="54" spans="1:11" x14ac:dyDescent="0.4">
      <c r="A54" s="1" t="s">
        <v>25</v>
      </c>
    </row>
    <row r="55" spans="1:11" s="7" customFormat="1" x14ac:dyDescent="0.4">
      <c r="A55" s="6" t="s">
        <v>23</v>
      </c>
      <c r="B55" s="5">
        <v>42460</v>
      </c>
      <c r="C55" s="5">
        <v>42825</v>
      </c>
      <c r="D55" s="5">
        <v>43190</v>
      </c>
      <c r="E55" s="5">
        <v>43555</v>
      </c>
      <c r="F55" s="5">
        <v>43921</v>
      </c>
      <c r="G55" s="5">
        <v>44286</v>
      </c>
      <c r="H55" s="5">
        <v>44651</v>
      </c>
      <c r="I55" s="5">
        <v>45016</v>
      </c>
      <c r="J55" s="5">
        <v>45382</v>
      </c>
      <c r="K55" s="5">
        <v>45747</v>
      </c>
    </row>
    <row r="56" spans="1:11" x14ac:dyDescent="0.4">
      <c r="A56" s="4" t="s">
        <v>10</v>
      </c>
      <c r="B56">
        <v>197</v>
      </c>
      <c r="C56">
        <v>197</v>
      </c>
      <c r="D56">
        <v>191</v>
      </c>
      <c r="E56">
        <v>375</v>
      </c>
      <c r="F56">
        <v>375</v>
      </c>
      <c r="G56">
        <v>370</v>
      </c>
      <c r="H56">
        <v>366</v>
      </c>
      <c r="I56">
        <v>366</v>
      </c>
      <c r="J56">
        <v>362</v>
      </c>
      <c r="K56">
        <v>362</v>
      </c>
    </row>
    <row r="57" spans="1:11" x14ac:dyDescent="0.4">
      <c r="A57" s="4" t="s">
        <v>11</v>
      </c>
      <c r="B57">
        <v>70875</v>
      </c>
      <c r="C57">
        <v>86017</v>
      </c>
      <c r="D57">
        <v>84937</v>
      </c>
      <c r="E57">
        <v>89071</v>
      </c>
      <c r="F57">
        <v>83751</v>
      </c>
      <c r="G57">
        <v>86063</v>
      </c>
      <c r="H57">
        <v>88773</v>
      </c>
      <c r="I57">
        <v>90058</v>
      </c>
      <c r="J57">
        <v>90127</v>
      </c>
      <c r="K57">
        <v>94394</v>
      </c>
    </row>
    <row r="58" spans="1:11" x14ac:dyDescent="0.4">
      <c r="A58" s="4" t="s">
        <v>36</v>
      </c>
      <c r="B58">
        <v>245</v>
      </c>
      <c r="C58">
        <v>289</v>
      </c>
      <c r="D58">
        <v>247</v>
      </c>
      <c r="E58">
        <v>62</v>
      </c>
      <c r="F58">
        <v>8174</v>
      </c>
      <c r="G58">
        <v>7795</v>
      </c>
      <c r="H58">
        <v>7818</v>
      </c>
      <c r="I58">
        <v>7688</v>
      </c>
      <c r="J58">
        <v>8021</v>
      </c>
      <c r="K58">
        <v>9392</v>
      </c>
    </row>
    <row r="59" spans="1:11" x14ac:dyDescent="0.4">
      <c r="A59" s="4" t="s">
        <v>37</v>
      </c>
      <c r="B59">
        <v>16974</v>
      </c>
      <c r="C59">
        <v>15830</v>
      </c>
      <c r="D59">
        <v>19751</v>
      </c>
      <c r="E59">
        <v>24393</v>
      </c>
      <c r="F59">
        <v>27827</v>
      </c>
      <c r="G59">
        <v>35764</v>
      </c>
      <c r="H59">
        <v>43967</v>
      </c>
      <c r="I59">
        <v>44747</v>
      </c>
      <c r="J59">
        <v>46962</v>
      </c>
      <c r="K59">
        <v>54501</v>
      </c>
    </row>
    <row r="60" spans="1:11" s="1" customFormat="1" x14ac:dyDescent="0.4">
      <c r="A60" s="1" t="s">
        <v>12</v>
      </c>
      <c r="B60">
        <v>88291</v>
      </c>
      <c r="C60">
        <v>102333</v>
      </c>
      <c r="D60">
        <v>105126</v>
      </c>
      <c r="E60">
        <v>113901</v>
      </c>
      <c r="F60">
        <v>120127</v>
      </c>
      <c r="G60">
        <v>129992</v>
      </c>
      <c r="H60">
        <v>140924</v>
      </c>
      <c r="I60">
        <v>142859</v>
      </c>
      <c r="J60">
        <v>145472</v>
      </c>
      <c r="K60">
        <v>158649</v>
      </c>
    </row>
    <row r="61" spans="1:11" x14ac:dyDescent="0.4">
      <c r="A61" s="4" t="s">
        <v>13</v>
      </c>
      <c r="B61">
        <v>11774</v>
      </c>
      <c r="C61">
        <v>11701</v>
      </c>
      <c r="D61">
        <v>11973</v>
      </c>
      <c r="E61">
        <v>12290</v>
      </c>
      <c r="F61">
        <v>20928</v>
      </c>
      <c r="G61">
        <v>21021</v>
      </c>
      <c r="H61">
        <v>21298</v>
      </c>
      <c r="I61">
        <v>20515</v>
      </c>
      <c r="J61">
        <v>19604</v>
      </c>
      <c r="K61">
        <v>23053</v>
      </c>
    </row>
    <row r="62" spans="1:11" x14ac:dyDescent="0.4">
      <c r="A62" s="4" t="s">
        <v>14</v>
      </c>
      <c r="B62">
        <v>1670</v>
      </c>
      <c r="C62">
        <v>1541</v>
      </c>
      <c r="D62">
        <v>1278</v>
      </c>
      <c r="E62">
        <v>963</v>
      </c>
      <c r="F62">
        <v>906</v>
      </c>
      <c r="G62">
        <v>926</v>
      </c>
      <c r="H62">
        <v>1205</v>
      </c>
      <c r="I62">
        <v>1234</v>
      </c>
      <c r="J62">
        <v>1564</v>
      </c>
      <c r="K62">
        <v>1546</v>
      </c>
    </row>
    <row r="63" spans="1:11" x14ac:dyDescent="0.4">
      <c r="A63" s="4" t="s">
        <v>15</v>
      </c>
      <c r="B63">
        <v>22822</v>
      </c>
      <c r="C63">
        <v>41980</v>
      </c>
      <c r="D63">
        <v>36008</v>
      </c>
      <c r="E63">
        <v>29330</v>
      </c>
      <c r="F63">
        <v>26356</v>
      </c>
      <c r="G63">
        <v>29373</v>
      </c>
      <c r="H63">
        <v>30485</v>
      </c>
      <c r="I63">
        <v>37163</v>
      </c>
      <c r="J63">
        <v>31762</v>
      </c>
      <c r="K63">
        <v>30964</v>
      </c>
    </row>
    <row r="64" spans="1:11" x14ac:dyDescent="0.4">
      <c r="A64" s="4" t="s">
        <v>38</v>
      </c>
      <c r="B64">
        <v>52025</v>
      </c>
      <c r="C64">
        <v>47111</v>
      </c>
      <c r="D64">
        <v>55867</v>
      </c>
      <c r="E64">
        <v>71318</v>
      </c>
      <c r="F64">
        <v>71937</v>
      </c>
      <c r="G64">
        <v>78672</v>
      </c>
      <c r="H64">
        <v>87936</v>
      </c>
      <c r="I64">
        <v>83947</v>
      </c>
      <c r="J64">
        <v>92542</v>
      </c>
      <c r="K64">
        <v>103086</v>
      </c>
    </row>
    <row r="65" spans="1:11" s="1" customFormat="1" x14ac:dyDescent="0.4">
      <c r="A65" s="1" t="s">
        <v>12</v>
      </c>
      <c r="B65">
        <v>88291</v>
      </c>
      <c r="C65">
        <v>102333</v>
      </c>
      <c r="D65">
        <v>105126</v>
      </c>
      <c r="E65">
        <v>113901</v>
      </c>
      <c r="F65">
        <v>120127</v>
      </c>
      <c r="G65">
        <v>129992</v>
      </c>
      <c r="H65">
        <v>140924</v>
      </c>
      <c r="I65">
        <v>142859</v>
      </c>
      <c r="J65">
        <v>145472</v>
      </c>
      <c r="K65">
        <v>158649</v>
      </c>
    </row>
    <row r="66" spans="1:11" s="4" customFormat="1" x14ac:dyDescent="0.4">
      <c r="A66" s="4" t="s">
        <v>43</v>
      </c>
      <c r="B66">
        <v>24073</v>
      </c>
      <c r="C66">
        <v>22617</v>
      </c>
      <c r="D66">
        <v>24943</v>
      </c>
      <c r="E66">
        <v>27346</v>
      </c>
      <c r="F66">
        <v>30532</v>
      </c>
      <c r="G66">
        <v>30079</v>
      </c>
      <c r="H66">
        <v>41810</v>
      </c>
      <c r="I66">
        <v>49954</v>
      </c>
      <c r="J66">
        <v>53577</v>
      </c>
      <c r="K66">
        <v>59046</v>
      </c>
    </row>
    <row r="67" spans="1:11" x14ac:dyDescent="0.4">
      <c r="A67" s="4" t="s">
        <v>29</v>
      </c>
      <c r="B67">
        <v>16</v>
      </c>
      <c r="C67">
        <v>21</v>
      </c>
      <c r="D67">
        <v>26</v>
      </c>
      <c r="E67">
        <v>10</v>
      </c>
      <c r="F67">
        <v>5</v>
      </c>
      <c r="G67">
        <v>8</v>
      </c>
      <c r="H67">
        <v>20</v>
      </c>
      <c r="I67">
        <v>28</v>
      </c>
      <c r="J67">
        <v>28</v>
      </c>
      <c r="K67">
        <v>21</v>
      </c>
    </row>
    <row r="68" spans="1:11" x14ac:dyDescent="0.4">
      <c r="A68" s="3" t="s">
        <v>52</v>
      </c>
      <c r="B68">
        <v>6788</v>
      </c>
      <c r="C68">
        <v>4149</v>
      </c>
      <c r="D68">
        <v>7161</v>
      </c>
      <c r="E68">
        <v>12848</v>
      </c>
      <c r="F68">
        <v>9666</v>
      </c>
      <c r="G68">
        <v>9329</v>
      </c>
      <c r="H68">
        <v>18221</v>
      </c>
      <c r="I68">
        <v>11032</v>
      </c>
      <c r="J68">
        <v>13286</v>
      </c>
      <c r="K68">
        <v>15463</v>
      </c>
    </row>
    <row r="69" spans="1:11" x14ac:dyDescent="0.4">
      <c r="A69" s="3" t="s">
        <v>39</v>
      </c>
      <c r="B69">
        <v>1970427941</v>
      </c>
      <c r="C69">
        <v>1970427941</v>
      </c>
      <c r="D69">
        <v>1914287591</v>
      </c>
      <c r="E69">
        <v>3752384706</v>
      </c>
      <c r="F69">
        <v>3752384706</v>
      </c>
      <c r="G69">
        <v>3699051373</v>
      </c>
      <c r="H69">
        <v>3659051373</v>
      </c>
      <c r="I69">
        <v>3659051373</v>
      </c>
      <c r="J69">
        <v>3618087518</v>
      </c>
      <c r="K69">
        <v>3618087518</v>
      </c>
    </row>
    <row r="70" spans="1:11" x14ac:dyDescent="0.4">
      <c r="A70" s="3" t="s">
        <v>40</v>
      </c>
    </row>
    <row r="71" spans="1:11" x14ac:dyDescent="0.4">
      <c r="A71" s="3" t="s">
        <v>53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3" spans="1:11" x14ac:dyDescent="0.4">
      <c r="A73" s="4" t="s">
        <v>38</v>
      </c>
      <c r="B73" s="3">
        <f>B64-SUM(B66:B68)</f>
        <v>21148</v>
      </c>
      <c r="C73" s="3">
        <f t="shared" ref="C73:K73" si="1">C64-SUM(C66:C68)</f>
        <v>20324</v>
      </c>
      <c r="D73" s="3">
        <f t="shared" si="1"/>
        <v>23737</v>
      </c>
      <c r="E73" s="3">
        <f t="shared" si="1"/>
        <v>31114</v>
      </c>
      <c r="F73" s="3">
        <f t="shared" si="1"/>
        <v>31734</v>
      </c>
      <c r="G73" s="3">
        <f t="shared" si="1"/>
        <v>39256</v>
      </c>
      <c r="H73" s="3">
        <f t="shared" si="1"/>
        <v>27885</v>
      </c>
      <c r="I73" s="3">
        <f t="shared" si="1"/>
        <v>22933</v>
      </c>
      <c r="J73" s="3">
        <f t="shared" si="1"/>
        <v>25651</v>
      </c>
      <c r="K73" s="3">
        <f t="shared" si="1"/>
        <v>28556</v>
      </c>
    </row>
    <row r="74" spans="1:11" x14ac:dyDescent="0.4">
      <c r="A74" s="4"/>
    </row>
    <row r="75" spans="1:11" x14ac:dyDescent="0.4">
      <c r="A75" s="4" t="s">
        <v>205</v>
      </c>
      <c r="B75" s="3">
        <f>B60</f>
        <v>88291</v>
      </c>
      <c r="C75" s="3">
        <f t="shared" ref="C75:K75" si="2">C60</f>
        <v>102333</v>
      </c>
      <c r="D75" s="3">
        <f t="shared" si="2"/>
        <v>105126</v>
      </c>
      <c r="E75" s="3">
        <f t="shared" si="2"/>
        <v>113901</v>
      </c>
      <c r="F75" s="3">
        <f t="shared" si="2"/>
        <v>120127</v>
      </c>
      <c r="G75" s="3">
        <f t="shared" si="2"/>
        <v>129992</v>
      </c>
      <c r="H75" s="3">
        <f t="shared" si="2"/>
        <v>140924</v>
      </c>
      <c r="I75" s="3">
        <f t="shared" si="2"/>
        <v>142859</v>
      </c>
      <c r="J75" s="3">
        <f t="shared" si="2"/>
        <v>145472</v>
      </c>
      <c r="K75" s="3">
        <f t="shared" si="2"/>
        <v>158649</v>
      </c>
    </row>
    <row r="76" spans="1:11" x14ac:dyDescent="0.4">
      <c r="A76" s="4"/>
    </row>
    <row r="77" spans="1:11" x14ac:dyDescent="0.4">
      <c r="A77" s="4"/>
    </row>
    <row r="78" spans="1:11" x14ac:dyDescent="0.4">
      <c r="A78" s="4"/>
    </row>
    <row r="79" spans="1:11" x14ac:dyDescent="0.4">
      <c r="A79" s="1" t="s">
        <v>26</v>
      </c>
    </row>
    <row r="80" spans="1:11" s="7" customFormat="1" x14ac:dyDescent="0.4">
      <c r="A80" s="6" t="s">
        <v>23</v>
      </c>
      <c r="B80" s="5">
        <v>42460</v>
      </c>
      <c r="C80" s="5">
        <v>42825</v>
      </c>
      <c r="D80" s="5">
        <v>43190</v>
      </c>
      <c r="E80" s="5">
        <v>43555</v>
      </c>
      <c r="F80" s="5">
        <v>43921</v>
      </c>
      <c r="G80" s="5">
        <v>44286</v>
      </c>
      <c r="H80" s="5">
        <v>44651</v>
      </c>
      <c r="I80" s="5">
        <v>45016</v>
      </c>
      <c r="J80" s="5">
        <v>45382</v>
      </c>
      <c r="K80" s="5">
        <v>45747</v>
      </c>
    </row>
    <row r="81" spans="1:11" s="1" customFormat="1" x14ac:dyDescent="0.4">
      <c r="A81" s="4" t="s">
        <v>17</v>
      </c>
      <c r="B81">
        <v>19109</v>
      </c>
      <c r="C81">
        <v>25223</v>
      </c>
      <c r="D81">
        <v>25067</v>
      </c>
      <c r="E81">
        <v>28593</v>
      </c>
      <c r="F81">
        <v>32369</v>
      </c>
      <c r="G81">
        <v>38802</v>
      </c>
      <c r="H81">
        <v>39949</v>
      </c>
      <c r="I81">
        <v>41965</v>
      </c>
      <c r="J81">
        <v>44338</v>
      </c>
      <c r="K81">
        <v>48908</v>
      </c>
    </row>
    <row r="82" spans="1:11" s="4" customFormat="1" x14ac:dyDescent="0.4">
      <c r="A82" s="4" t="s">
        <v>18</v>
      </c>
      <c r="B82">
        <v>-5010</v>
      </c>
      <c r="C82">
        <v>-16895</v>
      </c>
      <c r="D82">
        <v>3104</v>
      </c>
      <c r="E82">
        <v>1645</v>
      </c>
      <c r="F82">
        <v>8968</v>
      </c>
      <c r="G82">
        <v>-7956</v>
      </c>
      <c r="H82">
        <v>-738</v>
      </c>
      <c r="I82">
        <v>548</v>
      </c>
      <c r="J82">
        <v>6091</v>
      </c>
      <c r="K82">
        <v>-2144</v>
      </c>
    </row>
    <row r="83" spans="1:11" s="4" customFormat="1" x14ac:dyDescent="0.4">
      <c r="A83" s="4" t="s">
        <v>19</v>
      </c>
      <c r="B83">
        <v>-9666</v>
      </c>
      <c r="C83">
        <v>-11026</v>
      </c>
      <c r="D83">
        <v>-26885</v>
      </c>
      <c r="E83">
        <v>-27897</v>
      </c>
      <c r="F83">
        <v>-39915</v>
      </c>
      <c r="G83">
        <v>-32634</v>
      </c>
      <c r="H83">
        <v>-33581</v>
      </c>
      <c r="I83">
        <v>-47878</v>
      </c>
      <c r="J83">
        <v>-48536</v>
      </c>
      <c r="K83">
        <v>-47438</v>
      </c>
    </row>
    <row r="84" spans="1:11" s="1" customFormat="1" x14ac:dyDescent="0.4">
      <c r="A84" s="4" t="s">
        <v>20</v>
      </c>
      <c r="B84">
        <v>4433</v>
      </c>
      <c r="C84">
        <v>-2698</v>
      </c>
      <c r="D84">
        <v>1286</v>
      </c>
      <c r="E84">
        <v>2341</v>
      </c>
      <c r="F84">
        <v>1422</v>
      </c>
      <c r="G84">
        <v>-1788</v>
      </c>
      <c r="H84">
        <v>5630</v>
      </c>
      <c r="I84">
        <v>-5365</v>
      </c>
      <c r="J84">
        <v>1893</v>
      </c>
      <c r="K84">
        <v>-674</v>
      </c>
    </row>
    <row r="85" spans="1:11" x14ac:dyDescent="0.4">
      <c r="A85" s="4"/>
    </row>
    <row r="86" spans="1:11" x14ac:dyDescent="0.4">
      <c r="A86" s="4"/>
    </row>
    <row r="87" spans="1:11" x14ac:dyDescent="0.4">
      <c r="A87" s="4"/>
    </row>
    <row r="88" spans="1:11" x14ac:dyDescent="0.4">
      <c r="A88" s="4"/>
    </row>
    <row r="89" spans="1:11" s="1" customFormat="1" x14ac:dyDescent="0.4">
      <c r="A89" s="1" t="s">
        <v>42</v>
      </c>
      <c r="B89">
        <v>1260.1500000000001</v>
      </c>
      <c r="C89">
        <v>1215.9000000000001</v>
      </c>
      <c r="D89">
        <v>1424.58</v>
      </c>
      <c r="E89">
        <v>2001.65</v>
      </c>
      <c r="F89">
        <v>1826.1</v>
      </c>
      <c r="G89">
        <v>3177.85</v>
      </c>
      <c r="H89">
        <v>3739.95</v>
      </c>
      <c r="I89">
        <v>3205.9</v>
      </c>
      <c r="J89">
        <v>3876.3</v>
      </c>
      <c r="K89">
        <v>3606.15</v>
      </c>
    </row>
    <row r="91" spans="1:11" s="1" customFormat="1" x14ac:dyDescent="0.4">
      <c r="A91" s="1" t="s">
        <v>41</v>
      </c>
    </row>
    <row r="92" spans="1:11" x14ac:dyDescent="0.4">
      <c r="A92" s="3" t="s">
        <v>54</v>
      </c>
      <c r="B92" s="9">
        <v>394.09</v>
      </c>
      <c r="C92" s="9">
        <v>394.09</v>
      </c>
      <c r="D92" s="9">
        <v>382.86</v>
      </c>
      <c r="E92" s="9">
        <v>375.24</v>
      </c>
      <c r="F92" s="9">
        <v>375.24</v>
      </c>
      <c r="G92" s="9">
        <v>369.91</v>
      </c>
      <c r="H92" s="9">
        <v>365.91</v>
      </c>
      <c r="I92" s="9">
        <v>365.91</v>
      </c>
      <c r="J92" s="9">
        <v>361.81</v>
      </c>
      <c r="K92" s="9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A40A-D0C6-4010-B83A-A4391770B113}">
  <dimension ref="B2:L47"/>
  <sheetViews>
    <sheetView showGridLines="0" topLeftCell="A4" workbookViewId="0">
      <selection activeCell="O14" sqref="O14"/>
    </sheetView>
  </sheetViews>
  <sheetFormatPr defaultRowHeight="14.6" x14ac:dyDescent="0.4"/>
  <cols>
    <col min="1" max="1" width="1.84375" customWidth="1"/>
    <col min="2" max="2" width="22.3046875" customWidth="1"/>
    <col min="3" max="3" width="9.3828125" bestFit="1" customWidth="1"/>
  </cols>
  <sheetData>
    <row r="2" spans="2:12" x14ac:dyDescent="0.4">
      <c r="B2" s="129" t="str">
        <f>"Common Size Income Statement -"&amp;'Data Sheet'!B1</f>
        <v>Common Size Income Statement -TATA CONSULTANCY SERVICES LTD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4" spans="2:12" x14ac:dyDescent="0.4">
      <c r="B4" s="44" t="s">
        <v>202</v>
      </c>
      <c r="C4" s="89">
        <f>'Data Sheet'!B16</f>
        <v>42460</v>
      </c>
      <c r="D4" s="89">
        <f>'Data Sheet'!C16</f>
        <v>42825</v>
      </c>
      <c r="E4" s="89">
        <f>'Data Sheet'!D16</f>
        <v>43190</v>
      </c>
      <c r="F4" s="89">
        <f>'Data Sheet'!E16</f>
        <v>43555</v>
      </c>
      <c r="G4" s="89">
        <f>'Data Sheet'!F16</f>
        <v>43921</v>
      </c>
      <c r="H4" s="89">
        <f>'Data Sheet'!G16</f>
        <v>44286</v>
      </c>
      <c r="I4" s="89">
        <f>'Data Sheet'!H16</f>
        <v>44651</v>
      </c>
      <c r="J4" s="89">
        <f>'Data Sheet'!I16</f>
        <v>45016</v>
      </c>
      <c r="K4" s="89">
        <f>'Data Sheet'!J16</f>
        <v>45382</v>
      </c>
      <c r="L4" s="89">
        <f>'Data Sheet'!K16</f>
        <v>45747</v>
      </c>
    </row>
    <row r="6" spans="2:12" x14ac:dyDescent="0.4">
      <c r="B6" s="92" t="str">
        <f>'Data Sheet'!A17</f>
        <v>Sales</v>
      </c>
      <c r="C6" s="93">
        <f>'Data Sheet'!B17/'Data Sheet'!B$17</f>
        <v>1</v>
      </c>
      <c r="D6" s="93">
        <f>'Data Sheet'!C17/'Data Sheet'!C$17</f>
        <v>1</v>
      </c>
      <c r="E6" s="93">
        <f>'Data Sheet'!D17/'Data Sheet'!D$17</f>
        <v>1</v>
      </c>
      <c r="F6" s="93">
        <f>'Data Sheet'!E17/'Data Sheet'!E$17</f>
        <v>1</v>
      </c>
      <c r="G6" s="93">
        <f>'Data Sheet'!F17/'Data Sheet'!F$17</f>
        <v>1</v>
      </c>
      <c r="H6" s="93">
        <f>'Data Sheet'!G17/'Data Sheet'!G$17</f>
        <v>1</v>
      </c>
      <c r="I6" s="93">
        <f>'Data Sheet'!H17/'Data Sheet'!H$17</f>
        <v>1</v>
      </c>
      <c r="J6" s="93">
        <f>'Data Sheet'!I17/'Data Sheet'!I$17</f>
        <v>1</v>
      </c>
      <c r="K6" s="93">
        <f>'Data Sheet'!J17/'Data Sheet'!J$17</f>
        <v>1</v>
      </c>
      <c r="L6" s="93">
        <f>'Data Sheet'!K17/'Data Sheet'!K$17</f>
        <v>1</v>
      </c>
    </row>
    <row r="7" spans="2:12" x14ac:dyDescent="0.4">
      <c r="B7" s="90" t="str">
        <f>'Data Sheet'!A18</f>
        <v>Raw Material Cost</v>
      </c>
      <c r="C7" s="59">
        <f>'Data Sheet'!B18/'Data Sheet'!B$17</f>
        <v>0</v>
      </c>
      <c r="D7" s="59">
        <f>'Data Sheet'!C18/'Data Sheet'!C$17</f>
        <v>7.9683976739060411E-4</v>
      </c>
      <c r="E7" s="59">
        <f>'Data Sheet'!D18/'Data Sheet'!D$17</f>
        <v>6.9859630881206132E-4</v>
      </c>
      <c r="F7" s="59">
        <f>'Data Sheet'!E18/'Data Sheet'!E$17</f>
        <v>2.7310651836982722E-4</v>
      </c>
      <c r="G7" s="59">
        <f>'Data Sheet'!F18/'Data Sheet'!F$17</f>
        <v>1.1468693652078064E-4</v>
      </c>
      <c r="H7" s="59">
        <f>'Data Sheet'!G18/'Data Sheet'!G$17</f>
        <v>8.5273820328060575E-5</v>
      </c>
      <c r="I7" s="59">
        <f>'Data Sheet'!H18/'Data Sheet'!H$17</f>
        <v>1.5123543707041314E-4</v>
      </c>
      <c r="J7" s="59">
        <f>'Data Sheet'!I18/'Data Sheet'!I$17</f>
        <v>1.6411038863114194E-4</v>
      </c>
      <c r="K7" s="59">
        <f>'Data Sheet'!J18/'Data Sheet'!J$17</f>
        <v>1.7435126799035256E-4</v>
      </c>
      <c r="L7" s="59">
        <f>'Data Sheet'!K18/'Data Sheet'!K$17</f>
        <v>1.9191302031928059E-4</v>
      </c>
    </row>
    <row r="8" spans="2:12" x14ac:dyDescent="0.4">
      <c r="B8" s="90" t="str">
        <f>'Data Sheet'!A19</f>
        <v>Change in Inventory</v>
      </c>
      <c r="C8" s="59">
        <f>'Data Sheet'!B19/'Data Sheet'!B$17</f>
        <v>0</v>
      </c>
      <c r="D8" s="59">
        <f>'Data Sheet'!C19/'Data Sheet'!C$17</f>
        <v>8.4770188020277028E-6</v>
      </c>
      <c r="E8" s="59">
        <f>'Data Sheet'!D19/'Data Sheet'!D$17</f>
        <v>0</v>
      </c>
      <c r="F8" s="59">
        <f>'Data Sheet'!E19/'Data Sheet'!E$17</f>
        <v>0</v>
      </c>
      <c r="G8" s="59">
        <f>'Data Sheet'!F19/'Data Sheet'!F$17</f>
        <v>0</v>
      </c>
      <c r="H8" s="59">
        <f>'Data Sheet'!G19/'Data Sheet'!G$17</f>
        <v>0</v>
      </c>
      <c r="I8" s="59">
        <f>'Data Sheet'!H19/'Data Sheet'!H$17</f>
        <v>0</v>
      </c>
      <c r="J8" s="59">
        <f>'Data Sheet'!I19/'Data Sheet'!I$17</f>
        <v>0</v>
      </c>
      <c r="K8" s="59">
        <f>'Data Sheet'!J19/'Data Sheet'!J$17</f>
        <v>0</v>
      </c>
      <c r="L8" s="59">
        <f>'Data Sheet'!K19/'Data Sheet'!K$17</f>
        <v>0</v>
      </c>
    </row>
    <row r="9" spans="2:12" x14ac:dyDescent="0.4">
      <c r="B9" s="90" t="str">
        <f>'Data Sheet'!A20</f>
        <v>Power and Fuel</v>
      </c>
      <c r="C9" s="59">
        <f>'Data Sheet'!B20/'Data Sheet'!B$17</f>
        <v>0</v>
      </c>
      <c r="D9" s="59">
        <f>'Data Sheet'!C20/'Data Sheet'!C$17</f>
        <v>0</v>
      </c>
      <c r="E9" s="59">
        <f>'Data Sheet'!D20/'Data Sheet'!D$17</f>
        <v>0</v>
      </c>
      <c r="F9" s="59">
        <f>'Data Sheet'!E20/'Data Sheet'!E$17</f>
        <v>0</v>
      </c>
      <c r="G9" s="59">
        <f>'Data Sheet'!F20/'Data Sheet'!F$17</f>
        <v>0</v>
      </c>
      <c r="H9" s="59">
        <f>'Data Sheet'!G20/'Data Sheet'!G$17</f>
        <v>0</v>
      </c>
      <c r="I9" s="59">
        <f>'Data Sheet'!H20/'Data Sheet'!H$17</f>
        <v>0</v>
      </c>
      <c r="J9" s="59">
        <f>'Data Sheet'!I20/'Data Sheet'!I$17</f>
        <v>0</v>
      </c>
      <c r="K9" s="59">
        <f>'Data Sheet'!J20/'Data Sheet'!J$17</f>
        <v>0</v>
      </c>
      <c r="L9" s="59">
        <f>'Data Sheet'!K20/'Data Sheet'!K$17</f>
        <v>0</v>
      </c>
    </row>
    <row r="10" spans="2:12" x14ac:dyDescent="0.4">
      <c r="B10" s="90" t="str">
        <f>'Data Sheet'!A21</f>
        <v>Other Mfr. Exp</v>
      </c>
      <c r="C10" s="59">
        <f>'Data Sheet'!B21/'Data Sheet'!B$17</f>
        <v>2.3664009719639931E-2</v>
      </c>
      <c r="D10" s="59">
        <f>'Data Sheet'!C21/'Data Sheet'!C$17</f>
        <v>2.3015106047505212E-2</v>
      </c>
      <c r="E10" s="59">
        <f>'Data Sheet'!D21/'Data Sheet'!D$17</f>
        <v>2.12340785027294E-2</v>
      </c>
      <c r="F10" s="59">
        <f>'Data Sheet'!E21/'Data Sheet'!E$17</f>
        <v>1.5225688399117867E-2</v>
      </c>
      <c r="G10" s="59">
        <f>'Data Sheet'!F21/'Data Sheet'!F$17</f>
        <v>1.2023013845261837E-2</v>
      </c>
      <c r="H10" s="59">
        <f>'Data Sheet'!G21/'Data Sheet'!G$17</f>
        <v>8.8197494167879791E-3</v>
      </c>
      <c r="I10" s="59">
        <f>'Data Sheet'!H21/'Data Sheet'!H$17</f>
        <v>5.9138270909602931E-3</v>
      </c>
      <c r="J10" s="59">
        <f>'Data Sheet'!I21/'Data Sheet'!I$17</f>
        <v>8.1789069361033976E-3</v>
      </c>
      <c r="K10" s="59">
        <f>'Data Sheet'!J21/'Data Sheet'!J$17</f>
        <v>1.5193467639159295E-2</v>
      </c>
      <c r="L10" s="59">
        <f>'Data Sheet'!K21/'Data Sheet'!K$17</f>
        <v>4.5428553524149706E-2</v>
      </c>
    </row>
    <row r="11" spans="2:12" x14ac:dyDescent="0.4">
      <c r="B11" s="90" t="str">
        <f>'Data Sheet'!A22</f>
        <v>Employee Cost</v>
      </c>
      <c r="C11" s="59">
        <f>'Data Sheet'!B22/'Data Sheet'!B$17</f>
        <v>0.50943430959262193</v>
      </c>
      <c r="D11" s="59">
        <f>'Data Sheet'!C22/'Data Sheet'!C$17</f>
        <v>0.52236237559974907</v>
      </c>
      <c r="E11" s="59">
        <f>'Data Sheet'!D22/'Data Sheet'!D$17</f>
        <v>0.53934884325448407</v>
      </c>
      <c r="F11" s="59">
        <f>'Data Sheet'!E22/'Data Sheet'!E$17</f>
        <v>0.53423731590913748</v>
      </c>
      <c r="G11" s="59">
        <f>'Data Sheet'!F22/'Data Sheet'!F$17</f>
        <v>0.54764286487967428</v>
      </c>
      <c r="H11" s="59">
        <f>'Data Sheet'!G22/'Data Sheet'!G$17</f>
        <v>0.55923789568575377</v>
      </c>
      <c r="I11" s="59">
        <f>'Data Sheet'!H22/'Data Sheet'!H$17</f>
        <v>0.56089573098866252</v>
      </c>
      <c r="J11" s="59">
        <f>'Data Sheet'!I22/'Data Sheet'!I$17</f>
        <v>0.56561310754109417</v>
      </c>
      <c r="K11" s="59">
        <f>'Data Sheet'!J22/'Data Sheet'!J$17</f>
        <v>0.5817147032084784</v>
      </c>
      <c r="L11" s="59">
        <f>'Data Sheet'!K22/'Data Sheet'!K$17</f>
        <v>0.57099215114912816</v>
      </c>
    </row>
    <row r="12" spans="2:12" x14ac:dyDescent="0.4">
      <c r="B12" s="90" t="str">
        <f>'Data Sheet'!A23</f>
        <v>Selling and admin</v>
      </c>
      <c r="C12" s="59">
        <f>'Data Sheet'!B23/'Data Sheet'!B$17</f>
        <v>0.1434843436481785</v>
      </c>
      <c r="D12" s="59">
        <f>'Data Sheet'!C23/'Data Sheet'!C$17</f>
        <v>0.13895529220283812</v>
      </c>
      <c r="E12" s="59">
        <f>'Data Sheet'!D23/'Data Sheet'!D$17</f>
        <v>0.13653496230829218</v>
      </c>
      <c r="F12" s="59">
        <f>'Data Sheet'!E23/'Data Sheet'!E$17</f>
        <v>0.13919556475014166</v>
      </c>
      <c r="G12" s="59">
        <f>'Data Sheet'!F23/'Data Sheet'!F$17</f>
        <v>0.13078770810900356</v>
      </c>
      <c r="H12" s="59">
        <f>'Data Sheet'!G23/'Data Sheet'!G$17</f>
        <v>0.11159906686076612</v>
      </c>
      <c r="I12" s="59">
        <f>'Data Sheet'!H23/'Data Sheet'!H$17</f>
        <v>0.1209205544604024</v>
      </c>
      <c r="J12" s="59">
        <f>'Data Sheet'!I23/'Data Sheet'!I$17</f>
        <v>0.12824118017546504</v>
      </c>
      <c r="K12" s="59">
        <f>'Data Sheet'!J23/'Data Sheet'!J$17</f>
        <v>0.10025613031511917</v>
      </c>
      <c r="L12" s="59">
        <f>'Data Sheet'!K23/'Data Sheet'!K$17</f>
        <v>8.1187040779558517E-2</v>
      </c>
    </row>
    <row r="13" spans="2:12" x14ac:dyDescent="0.4">
      <c r="B13" s="90" t="str">
        <f>'Data Sheet'!A24</f>
        <v>Other Expenses</v>
      </c>
      <c r="C13" s="59">
        <f>'Data Sheet'!B24/'Data Sheet'!B$17</f>
        <v>4.105995618798667E-2</v>
      </c>
      <c r="D13" s="59">
        <f>'Data Sheet'!C24/'Data Sheet'!C$17</f>
        <v>4.0977908889001914E-2</v>
      </c>
      <c r="E13" s="59">
        <f>'Data Sheet'!D24/'Data Sheet'!D$17</f>
        <v>3.8049129191577852E-2</v>
      </c>
      <c r="F13" s="59">
        <f>'Data Sheet'!E24/'Data Sheet'!E$17</f>
        <v>4.1334671555273345E-2</v>
      </c>
      <c r="G13" s="59">
        <f>'Data Sheet'!F24/'Data Sheet'!F$17</f>
        <v>4.1134381232119988E-2</v>
      </c>
      <c r="H13" s="59">
        <f>'Data Sheet'!G24/'Data Sheet'!G$17</f>
        <v>3.6746925574227818E-2</v>
      </c>
      <c r="I13" s="59">
        <f>'Data Sheet'!H24/'Data Sheet'!H$17</f>
        <v>3.5425597379976428E-2</v>
      </c>
      <c r="J13" s="59">
        <f>'Data Sheet'!I24/'Data Sheet'!I$17</f>
        <v>3.4964383610251136E-2</v>
      </c>
      <c r="K13" s="59">
        <f>'Data Sheet'!J24/'Data Sheet'!J$17</f>
        <v>3.5754463600021588E-2</v>
      </c>
      <c r="L13" s="59">
        <f>'Data Sheet'!K24/'Data Sheet'!K$17</f>
        <v>3.8194607635788254E-2</v>
      </c>
    </row>
    <row r="14" spans="2:12" x14ac:dyDescent="0.4">
      <c r="B14" s="90" t="str">
        <f>'Data Sheet'!A25</f>
        <v>Other Income</v>
      </c>
      <c r="C14" s="59">
        <f>'Data Sheet'!B25/'Data Sheet'!B$17</f>
        <v>2.8385766618191189E-2</v>
      </c>
      <c r="D14" s="59">
        <f>'Data Sheet'!C25/'Data Sheet'!C$17</f>
        <v>3.5781496363358936E-2</v>
      </c>
      <c r="E14" s="59">
        <f>'Data Sheet'!D25/'Data Sheet'!D$17</f>
        <v>2.9584741356901482E-2</v>
      </c>
      <c r="F14" s="59">
        <f>'Data Sheet'!E25/'Data Sheet'!E$17</f>
        <v>2.9434055017308124E-2</v>
      </c>
      <c r="G14" s="59">
        <f>'Data Sheet'!F25/'Data Sheet'!F$17</f>
        <v>2.9257911805745815E-2</v>
      </c>
      <c r="H14" s="59">
        <f>'Data Sheet'!G25/'Data Sheet'!G$17</f>
        <v>1.1670331410611717E-2</v>
      </c>
      <c r="I14" s="59">
        <f>'Data Sheet'!H25/'Data Sheet'!H$17</f>
        <v>2.0953930556859308E-2</v>
      </c>
      <c r="J14" s="59">
        <f>'Data Sheet'!I25/'Data Sheet'!I$17</f>
        <v>1.5297749469967798E-2</v>
      </c>
      <c r="K14" s="59">
        <f>'Data Sheet'!J25/'Data Sheet'!J$17</f>
        <v>1.4379828388537649E-2</v>
      </c>
      <c r="L14" s="59">
        <f>'Data Sheet'!K25/'Data Sheet'!K$17</f>
        <v>1.5517538500101831E-2</v>
      </c>
    </row>
    <row r="15" spans="2:12" x14ac:dyDescent="0.4">
      <c r="B15" s="90" t="str">
        <f>'Data Sheet'!A26</f>
        <v>Depreciation</v>
      </c>
      <c r="C15" s="59">
        <f>'Data Sheet'!B26/'Data Sheet'!B$17</f>
        <v>1.7377538059385526E-2</v>
      </c>
      <c r="D15" s="59">
        <f>'Data Sheet'!C26/'Data Sheet'!C$17</f>
        <v>1.6843836359629046E-2</v>
      </c>
      <c r="E15" s="59">
        <f>'Data Sheet'!D26/'Data Sheet'!D$17</f>
        <v>1.6360150766831297E-2</v>
      </c>
      <c r="F15" s="59">
        <f>'Data Sheet'!E26/'Data Sheet'!E$17</f>
        <v>1.4037675044209118E-2</v>
      </c>
      <c r="G15" s="59">
        <f>'Data Sheet'!F26/'Data Sheet'!F$17</f>
        <v>2.248501105454638E-2</v>
      </c>
      <c r="H15" s="59">
        <f>'Data Sheet'!G26/'Data Sheet'!G$17</f>
        <v>2.4759862830969016E-2</v>
      </c>
      <c r="I15" s="59">
        <f>'Data Sheet'!H26/'Data Sheet'!H$17</f>
        <v>2.4009929388695932E-2</v>
      </c>
      <c r="J15" s="59">
        <f>'Data Sheet'!I26/'Data Sheet'!I$17</f>
        <v>2.2274658694745805E-2</v>
      </c>
      <c r="K15" s="59">
        <f>'Data Sheet'!J26/'Data Sheet'!J$17</f>
        <v>2.0693835022188273E-2</v>
      </c>
      <c r="L15" s="59">
        <f>'Data Sheet'!K26/'Data Sheet'!K$17</f>
        <v>2.053077658191161E-2</v>
      </c>
    </row>
    <row r="16" spans="2:12" x14ac:dyDescent="0.4">
      <c r="B16" s="90" t="str">
        <f>'Data Sheet'!A27</f>
        <v>Interest</v>
      </c>
      <c r="C16" s="59">
        <f>'Data Sheet'!B27/'Data Sheet'!B$17</f>
        <v>3.0373874786002246E-4</v>
      </c>
      <c r="D16" s="59">
        <f>'Data Sheet'!C27/'Data Sheet'!C$17</f>
        <v>2.7126460166488649E-4</v>
      </c>
      <c r="E16" s="59">
        <f>'Data Sheet'!D27/'Data Sheet'!D$17</f>
        <v>4.224070704445022E-4</v>
      </c>
      <c r="F16" s="59">
        <f>'Data Sheet'!E27/'Data Sheet'!E$17</f>
        <v>1.3518772659306445E-3</v>
      </c>
      <c r="G16" s="59">
        <f>'Data Sheet'!F27/'Data Sheet'!F$17</f>
        <v>5.8872627414000723E-3</v>
      </c>
      <c r="H16" s="59">
        <f>'Data Sheet'!G27/'Data Sheet'!G$17</f>
        <v>3.879958824926756E-3</v>
      </c>
      <c r="I16" s="59">
        <f>'Data Sheet'!H27/'Data Sheet'!H$17</f>
        <v>4.0885718159725483E-3</v>
      </c>
      <c r="J16" s="59">
        <f>'Data Sheet'!I27/'Data Sheet'!I$17</f>
        <v>3.4551889930718805E-3</v>
      </c>
      <c r="K16" s="59">
        <f>'Data Sheet'!J27/'Data Sheet'!J$17</f>
        <v>3.2296496784879592E-3</v>
      </c>
      <c r="L16" s="59">
        <f>'Data Sheet'!K27/'Data Sheet'!K$17</f>
        <v>3.1176074321254562E-3</v>
      </c>
    </row>
    <row r="17" spans="2:12" x14ac:dyDescent="0.4">
      <c r="B17" s="90" t="str">
        <f>'Data Sheet'!A28</f>
        <v>Profit before tax</v>
      </c>
      <c r="C17" s="59">
        <f>'Data Sheet'!B28/'Data Sheet'!B$17</f>
        <v>0.29306187066251865</v>
      </c>
      <c r="D17" s="59">
        <f>'Data Sheet'!C28/'Data Sheet'!C$17</f>
        <v>0.2925673499143821</v>
      </c>
      <c r="E17" s="59">
        <f>'Data Sheet'!D28/'Data Sheet'!D$17</f>
        <v>0.27693657395373017</v>
      </c>
      <c r="F17" s="59">
        <f>'Data Sheet'!E28/'Data Sheet'!E$17</f>
        <v>0.2837781555751282</v>
      </c>
      <c r="G17" s="59">
        <f>'Data Sheet'!F28/'Data Sheet'!F$17</f>
        <v>0.26918298300721888</v>
      </c>
      <c r="H17" s="59">
        <f>'Data Sheet'!G28/'Data Sheet'!G$17</f>
        <v>0.26654159839685215</v>
      </c>
      <c r="I17" s="59">
        <f>'Data Sheet'!H28/'Data Sheet'!H$17</f>
        <v>0.26954848399511877</v>
      </c>
      <c r="J17" s="59">
        <f>'Data Sheet'!I28/'Data Sheet'!I$17</f>
        <v>0.25240621313060524</v>
      </c>
      <c r="K17" s="59">
        <f>'Data Sheet'!J28/'Data Sheet'!J$17</f>
        <v>0.25736322765709257</v>
      </c>
      <c r="L17" s="59">
        <f>'Data Sheet'!K28/'Data Sheet'!K$17</f>
        <v>0.25587488837712086</v>
      </c>
    </row>
    <row r="18" spans="2:12" x14ac:dyDescent="0.4">
      <c r="B18" s="90" t="str">
        <f>'Data Sheet'!A29</f>
        <v>Tax</v>
      </c>
      <c r="C18" s="59">
        <f>'Data Sheet'!B29/'Data Sheet'!B$17</f>
        <v>6.9049942013511778E-2</v>
      </c>
      <c r="D18" s="59">
        <f>'Data Sheet'!C29/'Data Sheet'!C$17</f>
        <v>6.9138565349337947E-2</v>
      </c>
      <c r="E18" s="59">
        <f>'Data Sheet'!D29/'Data Sheet'!D$17</f>
        <v>6.6707824278658692E-2</v>
      </c>
      <c r="F18" s="59">
        <f>'Data Sheet'!E29/'Data Sheet'!E$17</f>
        <v>6.8283457255416041E-2</v>
      </c>
      <c r="G18" s="59">
        <f>'Data Sheet'!F29/'Data Sheet'!F$17</f>
        <v>6.2447036935565053E-2</v>
      </c>
      <c r="H18" s="59">
        <f>'Data Sheet'!G29/'Data Sheet'!G$17</f>
        <v>6.8206874288115879E-2</v>
      </c>
      <c r="I18" s="59">
        <f>'Data Sheet'!H29/'Data Sheet'!H$17</f>
        <v>6.9036369515107901E-2</v>
      </c>
      <c r="J18" s="59">
        <f>'Data Sheet'!I29/'Data Sheet'!I$17</f>
        <v>6.4774813934302622E-2</v>
      </c>
      <c r="K18" s="59">
        <f>'Data Sheet'!J29/'Data Sheet'!J$17</f>
        <v>6.5996106155014889E-2</v>
      </c>
      <c r="L18" s="59">
        <f>'Data Sheet'!K29/'Data Sheet'!K$17</f>
        <v>6.4756936284877248E-2</v>
      </c>
    </row>
    <row r="19" spans="2:12" x14ac:dyDescent="0.4">
      <c r="B19" s="90" t="str">
        <f>'Data Sheet'!A30</f>
        <v>Net profit</v>
      </c>
      <c r="C19" s="59">
        <f>'Data Sheet'!B30/'Data Sheet'!B$17</f>
        <v>0.22338604274432561</v>
      </c>
      <c r="D19" s="59">
        <f>'Data Sheet'!C30/'Data Sheet'!C$17</f>
        <v>0.22285234728650627</v>
      </c>
      <c r="E19" s="59">
        <f>'Data Sheet'!D30/'Data Sheet'!D$17</f>
        <v>0.20979009617884065</v>
      </c>
      <c r="F19" s="59">
        <f>'Data Sheet'!E30/'Data Sheet'!E$17</f>
        <v>0.21488020865338003</v>
      </c>
      <c r="G19" s="59">
        <f>'Data Sheet'!F30/'Data Sheet'!F$17</f>
        <v>0.20605419594900254</v>
      </c>
      <c r="H19" s="59">
        <f>'Data Sheet'!G30/'Data Sheet'!G$17</f>
        <v>0.19753071380278603</v>
      </c>
      <c r="I19" s="59">
        <f>'Data Sheet'!H30/'Data Sheet'!H$17</f>
        <v>0.19987588264130082</v>
      </c>
      <c r="J19" s="59">
        <f>'Data Sheet'!I30/'Data Sheet'!I$17</f>
        <v>0.18693947431450647</v>
      </c>
      <c r="K19" s="59">
        <f>'Data Sheet'!J30/'Data Sheet'!J$17</f>
        <v>0.19057423835478823</v>
      </c>
      <c r="L19" s="59">
        <f>'Data Sheet'!K30/'Data Sheet'!K$17</f>
        <v>0.1901623035828986</v>
      </c>
    </row>
    <row r="20" spans="2:12" x14ac:dyDescent="0.4">
      <c r="B20" s="90" t="str">
        <f>'Data Sheet'!A31</f>
        <v>Dividend Amount</v>
      </c>
      <c r="C20" s="59">
        <f>'Data Sheet'!B31/'Data Sheet'!B$17</f>
        <v>7.8875430296559468E-2</v>
      </c>
      <c r="D20" s="59">
        <f>'Data Sheet'!C31/'Data Sheet'!C$17</f>
        <v>7.8488717087974502E-2</v>
      </c>
      <c r="E20" s="59">
        <f>'Data Sheet'!D31/'Data Sheet'!D$17</f>
        <v>7.7576683129711457E-2</v>
      </c>
      <c r="F20" s="59">
        <f>'Data Sheet'!E31/'Data Sheet'!E$17</f>
        <v>7.6811208291513902E-2</v>
      </c>
      <c r="G20" s="59">
        <f>'Data Sheet'!F31/'Data Sheet'!F$17</f>
        <v>0.17441971595868722</v>
      </c>
      <c r="H20" s="59">
        <f>'Data Sheet'!G31/'Data Sheet'!G$17</f>
        <v>8.5639279558037976E-2</v>
      </c>
      <c r="I20" s="59">
        <f>'Data Sheet'!H31/'Data Sheet'!H$17</f>
        <v>8.2073907193591783E-2</v>
      </c>
      <c r="J20" s="59">
        <f>'Data Sheet'!I31/'Data Sheet'!I$17</f>
        <v>0.18668665560769634</v>
      </c>
      <c r="K20" s="59">
        <f>'Data Sheet'!J31/'Data Sheet'!J$17</f>
        <v>0.10970015733126326</v>
      </c>
      <c r="L20" s="59">
        <f>'Data Sheet'!K31/'Data Sheet'!K$17</f>
        <v>0.17864360577149035</v>
      </c>
    </row>
    <row r="21" spans="2:12" x14ac:dyDescent="0.4">
      <c r="B21" s="90" t="str">
        <f>'Data Sheet'!A32</f>
        <v>EBITDA</v>
      </c>
      <c r="C21" s="59">
        <f>'Data Sheet'!B32/'Data Sheet'!B$17</f>
        <v>0.3101172615650829</v>
      </c>
      <c r="D21" s="59">
        <f>'Data Sheet'!C32/'Data Sheet'!C$17</f>
        <v>0.30910601359713819</v>
      </c>
      <c r="E21" s="59">
        <f>'Data Sheet'!D32/'Data Sheet'!D$17</f>
        <v>0.29328047829477516</v>
      </c>
      <c r="F21" s="59">
        <f>'Data Sheet'!E32/'Data Sheet'!E$17</f>
        <v>0.29855321821893582</v>
      </c>
      <c r="G21" s="59">
        <f>'Data Sheet'!F32/'Data Sheet'!F$17</f>
        <v>0.29687350668051404</v>
      </c>
      <c r="H21" s="59">
        <f>'Data Sheet'!G32/'Data Sheet'!G$17</f>
        <v>0.29437740974679766</v>
      </c>
      <c r="I21" s="59">
        <f>'Data Sheet'!H32/'Data Sheet'!H$17</f>
        <v>0.29701075336107724</v>
      </c>
      <c r="J21" s="59">
        <f>'Data Sheet'!I32/'Data Sheet'!I$17</f>
        <v>0.27744413593662676</v>
      </c>
      <c r="K21" s="59">
        <f>'Data Sheet'!J32/'Data Sheet'!J$17</f>
        <v>0.28049382921047933</v>
      </c>
      <c r="L21" s="59">
        <f>'Data Sheet'!K32/'Data Sheet'!K$17</f>
        <v>0.27856762388181289</v>
      </c>
    </row>
    <row r="22" spans="2:12" x14ac:dyDescent="0.4">
      <c r="B22" s="90"/>
    </row>
    <row r="23" spans="2:12" x14ac:dyDescent="0.4">
      <c r="B23" s="90"/>
    </row>
    <row r="24" spans="2:12" x14ac:dyDescent="0.4">
      <c r="B24" s="129" t="str">
        <f>"Common Size Balance Sheet Statement -"&amp;'Data Sheet'!B1</f>
        <v>Common Size Balance Sheet Statement -TATA CONSULTANCY SERVICES LTD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</row>
    <row r="25" spans="2:12" x14ac:dyDescent="0.4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</row>
    <row r="26" spans="2:12" x14ac:dyDescent="0.4">
      <c r="B26" s="44" t="s">
        <v>202</v>
      </c>
      <c r="C26" s="89">
        <f>'Data Sheet'!B55</f>
        <v>42460</v>
      </c>
      <c r="D26" s="89">
        <f>'Data Sheet'!C55</f>
        <v>42825</v>
      </c>
      <c r="E26" s="89">
        <f>'Data Sheet'!D55</f>
        <v>43190</v>
      </c>
      <c r="F26" s="89">
        <f>'Data Sheet'!E55</f>
        <v>43555</v>
      </c>
      <c r="G26" s="89">
        <f>'Data Sheet'!F55</f>
        <v>43921</v>
      </c>
      <c r="H26" s="89">
        <f>'Data Sheet'!G55</f>
        <v>44286</v>
      </c>
      <c r="I26" s="89">
        <f>'Data Sheet'!H55</f>
        <v>44651</v>
      </c>
      <c r="J26" s="89">
        <f>'Data Sheet'!I55</f>
        <v>45016</v>
      </c>
      <c r="K26" s="89">
        <f>'Data Sheet'!J55</f>
        <v>45382</v>
      </c>
      <c r="L26" s="89">
        <f>'Data Sheet'!K55</f>
        <v>45747</v>
      </c>
    </row>
    <row r="27" spans="2:12" x14ac:dyDescent="0.4">
      <c r="B27" s="90"/>
    </row>
    <row r="28" spans="2:12" x14ac:dyDescent="0.4">
      <c r="B28" s="92" t="s">
        <v>204</v>
      </c>
      <c r="C28" s="94">
        <f>'Data Sheet'!B60/'Data Sheet'!B$60</f>
        <v>1</v>
      </c>
      <c r="D28" s="94">
        <f>'Data Sheet'!C60/'Data Sheet'!C$60</f>
        <v>1</v>
      </c>
      <c r="E28" s="94">
        <f>'Data Sheet'!D60/'Data Sheet'!D$60</f>
        <v>1</v>
      </c>
      <c r="F28" s="94">
        <f>'Data Sheet'!E60/'Data Sheet'!E$60</f>
        <v>1</v>
      </c>
      <c r="G28" s="94">
        <f>'Data Sheet'!F60/'Data Sheet'!F$60</f>
        <v>1</v>
      </c>
      <c r="H28" s="94">
        <f>'Data Sheet'!G60/'Data Sheet'!G$60</f>
        <v>1</v>
      </c>
      <c r="I28" s="94">
        <f>'Data Sheet'!H60/'Data Sheet'!H$60</f>
        <v>1</v>
      </c>
      <c r="J28" s="94">
        <f>'Data Sheet'!I60/'Data Sheet'!I$60</f>
        <v>1</v>
      </c>
      <c r="K28" s="94">
        <f>'Data Sheet'!J60/'Data Sheet'!J$60</f>
        <v>1</v>
      </c>
      <c r="L28" s="94">
        <f>'Data Sheet'!K60/'Data Sheet'!K$60</f>
        <v>1</v>
      </c>
    </row>
    <row r="29" spans="2:12" x14ac:dyDescent="0.4">
      <c r="B29" s="90" t="str">
        <f>'Data Sheet'!A56</f>
        <v>Equity Share Capital</v>
      </c>
      <c r="C29" s="95">
        <f>'Data Sheet'!B56/'Data Sheet'!B$60</f>
        <v>2.2312579991165577E-3</v>
      </c>
      <c r="D29" s="95">
        <f>'Data Sheet'!C56/'Data Sheet'!C$60</f>
        <v>1.9250877038687422E-3</v>
      </c>
      <c r="E29" s="95">
        <f>'Data Sheet'!D56/'Data Sheet'!D$60</f>
        <v>1.8168673781937864E-3</v>
      </c>
      <c r="F29" s="95">
        <f>'Data Sheet'!E56/'Data Sheet'!E$60</f>
        <v>3.2923328153396372E-3</v>
      </c>
      <c r="G29" s="95">
        <f>'Data Sheet'!F56/'Data Sheet'!F$60</f>
        <v>3.1216962048498673E-3</v>
      </c>
      <c r="H29" s="95">
        <f>'Data Sheet'!G56/'Data Sheet'!G$60</f>
        <v>2.8463290048618378E-3</v>
      </c>
      <c r="I29" s="95">
        <f>'Data Sheet'!H56/'Data Sheet'!H$60</f>
        <v>2.5971445601884703E-3</v>
      </c>
      <c r="J29" s="95">
        <f>'Data Sheet'!I56/'Data Sheet'!I$60</f>
        <v>2.5619666944329722E-3</v>
      </c>
      <c r="K29" s="95">
        <f>'Data Sheet'!J56/'Data Sheet'!J$60</f>
        <v>2.4884513858337001E-3</v>
      </c>
      <c r="L29" s="95">
        <f>'Data Sheet'!K56/'Data Sheet'!K$60</f>
        <v>2.2817666672969891E-3</v>
      </c>
    </row>
    <row r="30" spans="2:12" x14ac:dyDescent="0.4">
      <c r="B30" s="90" t="str">
        <f>'Data Sheet'!A57</f>
        <v>Reserves</v>
      </c>
      <c r="C30" s="95">
        <f>'Data Sheet'!B57/'Data Sheet'!B$60</f>
        <v>0.80274320145881228</v>
      </c>
      <c r="D30" s="95">
        <f>'Data Sheet'!C57/'Data Sheet'!C$60</f>
        <v>0.8405597412369421</v>
      </c>
      <c r="E30" s="95">
        <f>'Data Sheet'!D57/'Data Sheet'!D$60</f>
        <v>0.80795426440652174</v>
      </c>
      <c r="F30" s="95">
        <f>'Data Sheet'!E57/'Data Sheet'!E$60</f>
        <v>0.78200366985364478</v>
      </c>
      <c r="G30" s="95">
        <f>'Data Sheet'!F57/'Data Sheet'!F$60</f>
        <v>0.69718714360634992</v>
      </c>
      <c r="H30" s="95">
        <f>'Data Sheet'!G57/'Data Sheet'!G$60</f>
        <v>0.66206381931195768</v>
      </c>
      <c r="I30" s="95">
        <f>'Data Sheet'!H57/'Data Sheet'!H$60</f>
        <v>0.62993528426669698</v>
      </c>
      <c r="J30" s="95">
        <f>'Data Sheet'!I57/'Data Sheet'!I$60</f>
        <v>0.63039780482853724</v>
      </c>
      <c r="K30" s="95">
        <f>'Data Sheet'!J57/'Data Sheet'!J$60</f>
        <v>0.61954877914650242</v>
      </c>
      <c r="L30" s="95">
        <f>'Data Sheet'!K57/'Data Sheet'!K$60</f>
        <v>0.59498641655478446</v>
      </c>
    </row>
    <row r="31" spans="2:12" x14ac:dyDescent="0.4">
      <c r="B31" s="90" t="str">
        <f>'Data Sheet'!A58</f>
        <v>Borrowings</v>
      </c>
      <c r="C31" s="95">
        <f>'Data Sheet'!B58/'Data Sheet'!B$60</f>
        <v>2.7749147704749068E-3</v>
      </c>
      <c r="D31" s="95">
        <f>'Data Sheet'!C58/'Data Sheet'!C$60</f>
        <v>2.8241134335942461E-3</v>
      </c>
      <c r="E31" s="95">
        <f>'Data Sheet'!D58/'Data Sheet'!D$60</f>
        <v>2.3495614786066244E-3</v>
      </c>
      <c r="F31" s="95">
        <f>'Data Sheet'!E58/'Data Sheet'!E$60</f>
        <v>5.4433235880281994E-4</v>
      </c>
      <c r="G31" s="95">
        <f>'Data Sheet'!F58/'Data Sheet'!F$60</f>
        <v>6.8044652742514172E-2</v>
      </c>
      <c r="H31" s="95">
        <f>'Data Sheet'!G58/'Data Sheet'!G$60</f>
        <v>5.9965228629454123E-2</v>
      </c>
      <c r="I31" s="95">
        <f>'Data Sheet'!H58/'Data Sheet'!H$60</f>
        <v>5.5476710851238967E-2</v>
      </c>
      <c r="J31" s="95">
        <f>'Data Sheet'!I58/'Data Sheet'!I$60</f>
        <v>5.3815300401094786E-2</v>
      </c>
      <c r="K31" s="95">
        <f>'Data Sheet'!J58/'Data Sheet'!J$60</f>
        <v>5.5137758468983722E-2</v>
      </c>
      <c r="L31" s="95">
        <f>'Data Sheet'!K58/'Data Sheet'!K$60</f>
        <v>5.9199868892964976E-2</v>
      </c>
    </row>
    <row r="32" spans="2:12" x14ac:dyDescent="0.4">
      <c r="B32" s="90" t="str">
        <f>'Data Sheet'!A59</f>
        <v>Other Liabilities</v>
      </c>
      <c r="C32" s="95">
        <f>'Data Sheet'!B59/'Data Sheet'!B$60</f>
        <v>0.19225062577159621</v>
      </c>
      <c r="D32" s="95">
        <f>'Data Sheet'!C59/'Data Sheet'!C$60</f>
        <v>0.15469105762559487</v>
      </c>
      <c r="E32" s="95">
        <f>'Data Sheet'!D59/'Data Sheet'!D$60</f>
        <v>0.18787930673667788</v>
      </c>
      <c r="F32" s="95">
        <f>'Data Sheet'!E59/'Data Sheet'!E$60</f>
        <v>0.2141596649722127</v>
      </c>
      <c r="G32" s="95">
        <f>'Data Sheet'!F59/'Data Sheet'!F$60</f>
        <v>0.23164650744628601</v>
      </c>
      <c r="H32" s="95">
        <f>'Data Sheet'!G59/'Data Sheet'!G$60</f>
        <v>0.27512462305372637</v>
      </c>
      <c r="I32" s="95">
        <f>'Data Sheet'!H59/'Data Sheet'!H$60</f>
        <v>0.31199086032187562</v>
      </c>
      <c r="J32" s="95">
        <f>'Data Sheet'!I59/'Data Sheet'!I$60</f>
        <v>0.31322492807593499</v>
      </c>
      <c r="K32" s="95">
        <f>'Data Sheet'!J59/'Data Sheet'!J$60</f>
        <v>0.32282501099868016</v>
      </c>
      <c r="L32" s="95">
        <f>'Data Sheet'!K59/'Data Sheet'!K$60</f>
        <v>0.34353194788495356</v>
      </c>
    </row>
    <row r="33" spans="2:12" x14ac:dyDescent="0.4">
      <c r="B33" s="90"/>
    </row>
    <row r="34" spans="2:12" x14ac:dyDescent="0.4">
      <c r="B34" s="92" t="s">
        <v>88</v>
      </c>
      <c r="C34" s="94">
        <f>'Data Sheet'!B65/'Data Sheet'!B$65</f>
        <v>1</v>
      </c>
      <c r="D34" s="94">
        <f>'Data Sheet'!C65/'Data Sheet'!C$65</f>
        <v>1</v>
      </c>
      <c r="E34" s="94">
        <f>'Data Sheet'!D65/'Data Sheet'!D$65</f>
        <v>1</v>
      </c>
      <c r="F34" s="94">
        <f>'Data Sheet'!E65/'Data Sheet'!E$65</f>
        <v>1</v>
      </c>
      <c r="G34" s="94">
        <f>'Data Sheet'!F65/'Data Sheet'!F$65</f>
        <v>1</v>
      </c>
      <c r="H34" s="94">
        <f>'Data Sheet'!G65/'Data Sheet'!G$65</f>
        <v>1</v>
      </c>
      <c r="I34" s="94">
        <f>'Data Sheet'!H65/'Data Sheet'!H$65</f>
        <v>1</v>
      </c>
      <c r="J34" s="94">
        <f>'Data Sheet'!I65/'Data Sheet'!I$65</f>
        <v>1</v>
      </c>
      <c r="K34" s="94">
        <f>'Data Sheet'!J65/'Data Sheet'!J$65</f>
        <v>1</v>
      </c>
      <c r="L34" s="94">
        <f>'Data Sheet'!K65/'Data Sheet'!K$65</f>
        <v>1</v>
      </c>
    </row>
    <row r="35" spans="2:12" x14ac:dyDescent="0.4">
      <c r="B35" s="90" t="str">
        <f>'Data Sheet'!A61</f>
        <v>Net Block</v>
      </c>
      <c r="C35" s="95">
        <f>'Data Sheet'!B61/'Data Sheet'!B$65</f>
        <v>0.13335447554110838</v>
      </c>
      <c r="D35" s="95">
        <f>'Data Sheet'!C61/'Data Sheet'!C$65</f>
        <v>0.1143423919947622</v>
      </c>
      <c r="E35" s="95">
        <f>'Data Sheet'!D61/'Data Sheet'!D$65</f>
        <v>0.1138919011471948</v>
      </c>
      <c r="F35" s="95">
        <f>'Data Sheet'!E61/'Data Sheet'!E$65</f>
        <v>0.1079007208013977</v>
      </c>
      <c r="G35" s="95">
        <f>'Data Sheet'!F61/'Data Sheet'!F$65</f>
        <v>0.1742156218002614</v>
      </c>
      <c r="H35" s="95">
        <f>'Data Sheet'!G61/'Data Sheet'!G$65</f>
        <v>0.16170995138162347</v>
      </c>
      <c r="I35" s="95">
        <f>'Data Sheet'!H61/'Data Sheet'!H$65</f>
        <v>0.1511311061281258</v>
      </c>
      <c r="J35" s="95">
        <f>'Data Sheet'!I61/'Data Sheet'!I$65</f>
        <v>0.14360313315926893</v>
      </c>
      <c r="K35" s="95">
        <f>'Data Sheet'!J61/'Data Sheet'!J$65</f>
        <v>0.13476132864056314</v>
      </c>
      <c r="L35" s="95">
        <f>'Data Sheet'!K61/'Data Sheet'!K$65</f>
        <v>0.14530819608065604</v>
      </c>
    </row>
    <row r="36" spans="2:12" x14ac:dyDescent="0.4">
      <c r="B36" s="90" t="str">
        <f>'Data Sheet'!A62</f>
        <v>Capital Work in Progress</v>
      </c>
      <c r="C36" s="95">
        <f>'Data Sheet'!B62/'Data Sheet'!B$65</f>
        <v>1.8914725170175894E-2</v>
      </c>
      <c r="D36" s="95">
        <f>'Data Sheet'!C62/'Data Sheet'!C$65</f>
        <v>1.5058680972902192E-2</v>
      </c>
      <c r="E36" s="95">
        <f>'Data Sheet'!D62/'Data Sheet'!D$65</f>
        <v>1.215684036299298E-2</v>
      </c>
      <c r="F36" s="95">
        <f>'Data Sheet'!E62/'Data Sheet'!E$65</f>
        <v>8.4547106697921877E-3</v>
      </c>
      <c r="G36" s="95">
        <f>'Data Sheet'!F62/'Data Sheet'!F$65</f>
        <v>7.5420180309172793E-3</v>
      </c>
      <c r="H36" s="95">
        <f>'Data Sheet'!G62/'Data Sheet'!G$65</f>
        <v>7.1235152932488154E-3</v>
      </c>
      <c r="I36" s="95">
        <f>'Data Sheet'!H62/'Data Sheet'!H$65</f>
        <v>8.5507081831341716E-3</v>
      </c>
      <c r="J36" s="95">
        <f>'Data Sheet'!I62/'Data Sheet'!I$65</f>
        <v>8.6378877074598029E-3</v>
      </c>
      <c r="K36" s="95">
        <f>'Data Sheet'!J62/'Data Sheet'!J$65</f>
        <v>1.0751209854817421E-2</v>
      </c>
      <c r="L36" s="95">
        <f>'Data Sheet'!K62/'Data Sheet'!K$65</f>
        <v>9.74478250729598E-3</v>
      </c>
    </row>
    <row r="37" spans="2:12" x14ac:dyDescent="0.4">
      <c r="B37" s="90" t="str">
        <f>'Data Sheet'!A63</f>
        <v>Investments</v>
      </c>
      <c r="C37" s="95">
        <f>'Data Sheet'!B63/'Data Sheet'!B$65</f>
        <v>0.25848614241542173</v>
      </c>
      <c r="D37" s="95">
        <f>'Data Sheet'!C63/'Data Sheet'!C$65</f>
        <v>0.41022934928126803</v>
      </c>
      <c r="E37" s="95">
        <f>'Data Sheet'!D63/'Data Sheet'!D$65</f>
        <v>0.34252230656545479</v>
      </c>
      <c r="F37" s="95">
        <f>'Data Sheet'!E63/'Data Sheet'!E$65</f>
        <v>0.25750432393043082</v>
      </c>
      <c r="G37" s="95">
        <f>'Data Sheet'!F63/'Data Sheet'!F$65</f>
        <v>0.2194011338000616</v>
      </c>
      <c r="H37" s="95">
        <f>'Data Sheet'!G63/'Data Sheet'!G$65</f>
        <v>0.2259600590805588</v>
      </c>
      <c r="I37" s="95">
        <f>'Data Sheet'!H63/'Data Sheet'!H$65</f>
        <v>0.2163222729982118</v>
      </c>
      <c r="J37" s="95">
        <f>'Data Sheet'!I63/'Data Sheet'!I$65</f>
        <v>0.26013761821096326</v>
      </c>
      <c r="K37" s="95">
        <f>'Data Sheet'!J63/'Data Sheet'!J$65</f>
        <v>0.2183375494940607</v>
      </c>
      <c r="L37" s="95">
        <f>'Data Sheet'!K63/'Data Sheet'!K$65</f>
        <v>0.19517299195078444</v>
      </c>
    </row>
    <row r="38" spans="2:12" x14ac:dyDescent="0.4">
      <c r="B38" s="90" t="str">
        <f>'Data Sheet'!A64</f>
        <v>Other Assets</v>
      </c>
      <c r="C38" s="95">
        <f>'Data Sheet'!B73/'Data Sheet'!B$65</f>
        <v>0.23952611251429931</v>
      </c>
      <c r="D38" s="95">
        <f>'Data Sheet'!C73/'Data Sheet'!C$65</f>
        <v>0.19860651011892547</v>
      </c>
      <c r="E38" s="95">
        <f>'Data Sheet'!D73/'Data Sheet'!D$65</f>
        <v>0.22579571181249167</v>
      </c>
      <c r="F38" s="95">
        <f>'Data Sheet'!E73/'Data Sheet'!E$65</f>
        <v>0.27316704857727325</v>
      </c>
      <c r="G38" s="95">
        <f>'Data Sheet'!F73/'Data Sheet'!F$65</f>
        <v>0.26417041963921517</v>
      </c>
      <c r="H38" s="95">
        <f>'Data Sheet'!G73/'Data Sheet'!G$65</f>
        <v>0.30198781463474678</v>
      </c>
      <c r="I38" s="95">
        <f>'Data Sheet'!H73/'Data Sheet'!H$65</f>
        <v>0.19787261218812977</v>
      </c>
      <c r="J38" s="95">
        <f>'Data Sheet'!I73/'Data Sheet'!I$65</f>
        <v>0.1605289131241294</v>
      </c>
      <c r="K38" s="95">
        <f>'Data Sheet'!J73/'Data Sheet'!J$65</f>
        <v>0.1763294654641443</v>
      </c>
      <c r="L38" s="95">
        <f>'Data Sheet'!K73/'Data Sheet'!K$65</f>
        <v>0.17999483135727298</v>
      </c>
    </row>
    <row r="39" spans="2:12" x14ac:dyDescent="0.4">
      <c r="B39" s="90" t="str">
        <f>'Data Sheet'!A66</f>
        <v>Receivables</v>
      </c>
      <c r="C39" s="95">
        <f>'Data Sheet'!B66/'Data Sheet'!B$65</f>
        <v>0.27265519701894869</v>
      </c>
      <c r="D39" s="95">
        <f>'Data Sheet'!C66/'Data Sheet'!C$65</f>
        <v>0.22101374923045353</v>
      </c>
      <c r="E39" s="95">
        <f>'Data Sheet'!D66/'Data Sheet'!D$65</f>
        <v>0.23726765976066816</v>
      </c>
      <c r="F39" s="95">
        <f>'Data Sheet'!E66/'Data Sheet'!E$65</f>
        <v>0.24008568844874056</v>
      </c>
      <c r="G39" s="95">
        <f>'Data Sheet'!F66/'Data Sheet'!F$65</f>
        <v>0.25416434273726973</v>
      </c>
      <c r="H39" s="95">
        <f>'Data Sheet'!G66/'Data Sheet'!G$65</f>
        <v>0.23139116253307895</v>
      </c>
      <c r="I39" s="95">
        <f>'Data Sheet'!H66/'Data Sheet'!H$65</f>
        <v>0.29668473787289601</v>
      </c>
      <c r="J39" s="95">
        <f>'Data Sheet'!I66/'Data Sheet'!I$65</f>
        <v>0.34967345424509483</v>
      </c>
      <c r="K39" s="95">
        <f>'Data Sheet'!J66/'Data Sheet'!J$65</f>
        <v>0.36829767927848656</v>
      </c>
      <c r="L39" s="95">
        <f>'Data Sheet'!K66/'Data Sheet'!K$65</f>
        <v>0.37218009568292265</v>
      </c>
    </row>
    <row r="40" spans="2:12" x14ac:dyDescent="0.4">
      <c r="B40" s="90" t="str">
        <f>'Data Sheet'!A67</f>
        <v>Inventory</v>
      </c>
      <c r="C40" s="95">
        <f>'Data Sheet'!B67/'Data Sheet'!B$65</f>
        <v>1.8121892378611637E-4</v>
      </c>
      <c r="D40" s="95">
        <f>'Data Sheet'!C67/'Data Sheet'!C$65</f>
        <v>2.0521239482864764E-4</v>
      </c>
      <c r="E40" s="95">
        <f>'Data Sheet'!D67/'Data Sheet'!D$65</f>
        <v>2.4732226090596048E-4</v>
      </c>
      <c r="F40" s="95">
        <f>'Data Sheet'!E67/'Data Sheet'!E$65</f>
        <v>8.7795541742390323E-5</v>
      </c>
      <c r="G40" s="95">
        <f>'Data Sheet'!F67/'Data Sheet'!F$65</f>
        <v>4.1622616064664895E-5</v>
      </c>
      <c r="H40" s="95">
        <f>'Data Sheet'!G67/'Data Sheet'!G$65</f>
        <v>6.154224875376947E-5</v>
      </c>
      <c r="I40" s="95">
        <f>'Data Sheet'!H67/'Data Sheet'!H$65</f>
        <v>1.4192046776986177E-4</v>
      </c>
      <c r="J40" s="95">
        <f>'Data Sheet'!I67/'Data Sheet'!I$65</f>
        <v>1.9599745203312358E-4</v>
      </c>
      <c r="K40" s="95">
        <f>'Data Sheet'!J67/'Data Sheet'!J$65</f>
        <v>1.9247690277166739E-4</v>
      </c>
      <c r="L40" s="95">
        <f>'Data Sheet'!K67/'Data Sheet'!K$65</f>
        <v>1.323676795945767E-4</v>
      </c>
    </row>
    <row r="41" spans="2:12" x14ac:dyDescent="0.4">
      <c r="B41" s="90" t="str">
        <f>'Data Sheet'!A68</f>
        <v>Cash &amp; Bank</v>
      </c>
      <c r="C41" s="95">
        <f>'Data Sheet'!B68/'Data Sheet'!B$65</f>
        <v>7.6882128416259868E-2</v>
      </c>
      <c r="D41" s="95">
        <f>'Data Sheet'!C68/'Data Sheet'!C$65</f>
        <v>4.054410600685996E-2</v>
      </c>
      <c r="E41" s="95">
        <f>'Data Sheet'!D68/'Data Sheet'!D$65</f>
        <v>6.811825809029165E-2</v>
      </c>
      <c r="F41" s="95">
        <f>'Data Sheet'!E68/'Data Sheet'!E$65</f>
        <v>0.11279971203062308</v>
      </c>
      <c r="G41" s="95">
        <f>'Data Sheet'!F68/'Data Sheet'!F$65</f>
        <v>8.0464841376210183E-2</v>
      </c>
      <c r="H41" s="95">
        <f>'Data Sheet'!G68/'Data Sheet'!G$65</f>
        <v>7.176595482798942E-2</v>
      </c>
      <c r="I41" s="95">
        <f>'Data Sheet'!H68/'Data Sheet'!H$65</f>
        <v>0.12929664216173256</v>
      </c>
      <c r="J41" s="95">
        <f>'Data Sheet'!I68/'Data Sheet'!I$65</f>
        <v>7.7222996101050684E-2</v>
      </c>
      <c r="K41" s="95">
        <f>'Data Sheet'!J68/'Data Sheet'!J$65</f>
        <v>9.1330290365156178E-2</v>
      </c>
      <c r="L41" s="95">
        <f>'Data Sheet'!K68/'Data Sheet'!K$65</f>
        <v>9.7466734741473313E-2</v>
      </c>
    </row>
    <row r="42" spans="2:12" x14ac:dyDescent="0.4">
      <c r="B42" s="90"/>
    </row>
    <row r="43" spans="2:12" x14ac:dyDescent="0.4">
      <c r="B43" s="90"/>
    </row>
    <row r="44" spans="2:12" x14ac:dyDescent="0.4">
      <c r="B44" s="90"/>
    </row>
    <row r="45" spans="2:12" x14ac:dyDescent="0.4">
      <c r="B45" s="90"/>
    </row>
    <row r="46" spans="2:12" x14ac:dyDescent="0.4">
      <c r="B46" s="90"/>
    </row>
    <row r="47" spans="2:12" x14ac:dyDescent="0.4">
      <c r="B47" s="90"/>
    </row>
  </sheetData>
  <mergeCells count="2">
    <mergeCell ref="B2:L2"/>
    <mergeCell ref="B24:L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4E04-CA4F-4FD0-A822-69CD6384FC92}">
  <dimension ref="B2:L30"/>
  <sheetViews>
    <sheetView workbookViewId="0">
      <selection activeCell="L3" sqref="L3"/>
    </sheetView>
  </sheetViews>
  <sheetFormatPr defaultRowHeight="14.6" x14ac:dyDescent="0.4"/>
  <cols>
    <col min="2" max="2" width="25.765625" bestFit="1" customWidth="1"/>
    <col min="3" max="12" width="10.69140625" customWidth="1"/>
  </cols>
  <sheetData>
    <row r="2" spans="2:12" x14ac:dyDescent="0.4">
      <c r="C2" s="10">
        <v>42430</v>
      </c>
      <c r="D2" s="10">
        <v>42795</v>
      </c>
      <c r="E2" s="10">
        <v>43160</v>
      </c>
      <c r="F2" s="10">
        <v>43525</v>
      </c>
      <c r="G2" s="10">
        <v>43891</v>
      </c>
      <c r="H2" s="10">
        <v>44256</v>
      </c>
      <c r="I2" s="10">
        <v>44621</v>
      </c>
      <c r="J2" s="10">
        <v>44986</v>
      </c>
      <c r="K2" s="10">
        <v>45352</v>
      </c>
      <c r="L2" s="10">
        <v>45717</v>
      </c>
    </row>
    <row r="3" spans="2:12" x14ac:dyDescent="0.4">
      <c r="B3" t="s">
        <v>90</v>
      </c>
      <c r="C3" s="28">
        <v>19109</v>
      </c>
      <c r="D3" s="28">
        <v>25223</v>
      </c>
      <c r="E3" s="28">
        <v>25067</v>
      </c>
      <c r="F3" s="28">
        <v>28593</v>
      </c>
      <c r="G3" s="28">
        <v>32369</v>
      </c>
      <c r="H3" s="28">
        <v>38802</v>
      </c>
      <c r="I3" s="28">
        <v>39949</v>
      </c>
      <c r="J3" s="28">
        <v>41965</v>
      </c>
      <c r="K3" s="28">
        <v>44338</v>
      </c>
      <c r="L3" s="28">
        <v>48908</v>
      </c>
    </row>
    <row r="4" spans="2:12" x14ac:dyDescent="0.4">
      <c r="B4" t="s">
        <v>91</v>
      </c>
      <c r="C4" s="28">
        <v>31631</v>
      </c>
      <c r="D4" s="28">
        <v>33800</v>
      </c>
      <c r="E4" s="28">
        <v>32885</v>
      </c>
      <c r="F4" s="28">
        <v>40720</v>
      </c>
      <c r="G4" s="28">
        <v>42882</v>
      </c>
      <c r="H4" s="28">
        <v>47031</v>
      </c>
      <c r="I4" s="28">
        <v>54204</v>
      </c>
      <c r="J4" s="28">
        <v>59148</v>
      </c>
      <c r="K4" s="28">
        <v>63709</v>
      </c>
      <c r="L4" s="28">
        <v>67853</v>
      </c>
    </row>
    <row r="5" spans="2:12" x14ac:dyDescent="0.4">
      <c r="B5" t="s">
        <v>43</v>
      </c>
      <c r="C5" s="28">
        <v>-2936</v>
      </c>
      <c r="D5">
        <v>680</v>
      </c>
      <c r="E5" s="28">
        <v>-1833</v>
      </c>
      <c r="F5" s="28">
        <v>-2883</v>
      </c>
      <c r="G5" s="28">
        <v>-3295</v>
      </c>
      <c r="H5" s="28">
        <v>1059</v>
      </c>
      <c r="I5" s="28">
        <v>-5144</v>
      </c>
      <c r="J5" s="28">
        <v>-7683</v>
      </c>
      <c r="K5" s="28">
        <v>-3332</v>
      </c>
      <c r="L5" s="28">
        <v>-5228</v>
      </c>
    </row>
    <row r="6" spans="2:12" x14ac:dyDescent="0.4">
      <c r="B6" t="s">
        <v>29</v>
      </c>
      <c r="C6">
        <v>0</v>
      </c>
      <c r="D6">
        <v>0</v>
      </c>
      <c r="E6">
        <v>-5</v>
      </c>
      <c r="F6">
        <v>16</v>
      </c>
      <c r="G6">
        <v>5</v>
      </c>
      <c r="H6">
        <v>-3</v>
      </c>
      <c r="I6">
        <v>-12</v>
      </c>
      <c r="J6">
        <v>-8</v>
      </c>
      <c r="K6">
        <v>0</v>
      </c>
      <c r="L6">
        <v>7</v>
      </c>
    </row>
    <row r="7" spans="2:12" x14ac:dyDescent="0.4">
      <c r="B7" t="s">
        <v>92</v>
      </c>
      <c r="C7" s="28">
        <v>-2039</v>
      </c>
      <c r="D7">
        <v>-201</v>
      </c>
      <c r="E7">
        <v>-346</v>
      </c>
      <c r="F7" s="28">
        <v>1496</v>
      </c>
      <c r="G7">
        <v>446</v>
      </c>
      <c r="H7">
        <v>-93</v>
      </c>
      <c r="I7">
        <v>186</v>
      </c>
      <c r="J7" s="28">
        <v>2036</v>
      </c>
      <c r="K7">
        <v>-632</v>
      </c>
      <c r="L7" s="28">
        <v>3718</v>
      </c>
    </row>
    <row r="8" spans="2:12" x14ac:dyDescent="0.4">
      <c r="B8" t="s">
        <v>93</v>
      </c>
      <c r="C8">
        <v>-798</v>
      </c>
      <c r="D8">
        <v>0</v>
      </c>
      <c r="E8">
        <v>0</v>
      </c>
      <c r="F8">
        <v>-499</v>
      </c>
      <c r="G8">
        <v>0</v>
      </c>
      <c r="H8">
        <v>-17</v>
      </c>
      <c r="I8">
        <v>-116</v>
      </c>
      <c r="J8">
        <v>261</v>
      </c>
      <c r="K8">
        <v>-301</v>
      </c>
      <c r="L8">
        <v>-738</v>
      </c>
    </row>
    <row r="9" spans="2:12" x14ac:dyDescent="0.4">
      <c r="B9" t="s">
        <v>94</v>
      </c>
      <c r="C9">
        <v>829</v>
      </c>
      <c r="D9" s="28">
        <v>-1110</v>
      </c>
      <c r="E9" s="28">
        <v>1975</v>
      </c>
      <c r="F9">
        <v>-299</v>
      </c>
      <c r="G9" s="28">
        <v>-1823</v>
      </c>
      <c r="H9">
        <v>-83</v>
      </c>
      <c r="I9" s="28">
        <v>2317</v>
      </c>
      <c r="J9" s="28">
        <v>1177</v>
      </c>
      <c r="K9" s="28">
        <v>-2617</v>
      </c>
      <c r="L9" s="28">
        <v>-1118</v>
      </c>
    </row>
    <row r="10" spans="2:12" x14ac:dyDescent="0.4">
      <c r="B10" t="s">
        <v>95</v>
      </c>
      <c r="C10" s="28">
        <v>-4944</v>
      </c>
      <c r="D10">
        <v>-631</v>
      </c>
      <c r="E10">
        <v>-209</v>
      </c>
      <c r="F10" s="28">
        <v>-2169</v>
      </c>
      <c r="G10" s="28">
        <v>-4667</v>
      </c>
      <c r="H10">
        <v>863</v>
      </c>
      <c r="I10" s="28">
        <v>-2769</v>
      </c>
      <c r="J10" s="28">
        <v>-4217</v>
      </c>
      <c r="K10" s="28">
        <v>-6882</v>
      </c>
      <c r="L10" s="28">
        <v>-3359</v>
      </c>
    </row>
    <row r="11" spans="2:12" x14ac:dyDescent="0.4">
      <c r="B11" t="s">
        <v>96</v>
      </c>
      <c r="C11" s="28">
        <v>-7578</v>
      </c>
      <c r="D11" s="28">
        <v>-7946</v>
      </c>
      <c r="E11" s="28">
        <v>-7609</v>
      </c>
      <c r="F11" s="28">
        <v>-9958</v>
      </c>
      <c r="G11" s="28">
        <v>-5846</v>
      </c>
      <c r="H11" s="28">
        <v>-9092</v>
      </c>
      <c r="I11" s="28">
        <v>-11486</v>
      </c>
      <c r="J11" s="28">
        <v>-12966</v>
      </c>
      <c r="K11" s="28">
        <v>-12489</v>
      </c>
      <c r="L11" s="28">
        <v>-15586</v>
      </c>
    </row>
    <row r="12" spans="2:12" x14ac:dyDescent="0.4">
      <c r="B12" t="s">
        <v>97</v>
      </c>
      <c r="C12" s="28">
        <v>-5010</v>
      </c>
      <c r="D12" s="28">
        <v>-16895</v>
      </c>
      <c r="E12" s="28">
        <v>3104</v>
      </c>
      <c r="F12" s="28">
        <v>1645</v>
      </c>
      <c r="G12" s="28">
        <v>8968</v>
      </c>
      <c r="H12" s="28">
        <v>-7956</v>
      </c>
      <c r="I12">
        <v>-738</v>
      </c>
      <c r="J12">
        <v>548</v>
      </c>
      <c r="K12" s="28">
        <v>6091</v>
      </c>
      <c r="L12" s="28">
        <v>-2144</v>
      </c>
    </row>
    <row r="13" spans="2:12" x14ac:dyDescent="0.4">
      <c r="B13" t="s">
        <v>98</v>
      </c>
      <c r="C13" s="28">
        <v>-1987</v>
      </c>
      <c r="D13" s="28">
        <v>-1989</v>
      </c>
      <c r="E13" s="28">
        <v>-1862</v>
      </c>
      <c r="F13" s="28">
        <v>-2231</v>
      </c>
      <c r="G13" s="28">
        <v>-3249</v>
      </c>
      <c r="H13" s="28">
        <v>-3176</v>
      </c>
      <c r="I13" s="28">
        <v>-2995</v>
      </c>
      <c r="J13" s="28">
        <v>-3100</v>
      </c>
      <c r="K13" s="28">
        <v>-2674</v>
      </c>
      <c r="L13" s="28">
        <v>-3937</v>
      </c>
    </row>
    <row r="14" spans="2:12" x14ac:dyDescent="0.4">
      <c r="B14" t="s">
        <v>99</v>
      </c>
      <c r="C14">
        <v>22</v>
      </c>
      <c r="D14">
        <v>36</v>
      </c>
      <c r="E14">
        <v>58</v>
      </c>
      <c r="F14">
        <v>99</v>
      </c>
      <c r="G14">
        <v>161</v>
      </c>
      <c r="H14">
        <v>37</v>
      </c>
      <c r="I14">
        <v>31</v>
      </c>
      <c r="J14">
        <v>37</v>
      </c>
      <c r="K14">
        <v>24</v>
      </c>
      <c r="L14">
        <v>23</v>
      </c>
    </row>
    <row r="15" spans="2:12" x14ac:dyDescent="0.4">
      <c r="B15" t="s">
        <v>100</v>
      </c>
      <c r="C15" s="28">
        <v>-116847</v>
      </c>
      <c r="D15" s="28">
        <v>-121423</v>
      </c>
      <c r="E15" s="28">
        <v>-97473</v>
      </c>
      <c r="F15" s="28">
        <v>-96751</v>
      </c>
      <c r="G15" s="28">
        <v>-80002</v>
      </c>
      <c r="H15" s="28">
        <v>-54462</v>
      </c>
      <c r="I15" s="28">
        <v>-75374</v>
      </c>
      <c r="J15" s="28">
        <v>-129745</v>
      </c>
      <c r="K15" s="28">
        <v>-141011</v>
      </c>
      <c r="L15" s="28">
        <v>-145962</v>
      </c>
    </row>
    <row r="16" spans="2:12" x14ac:dyDescent="0.4">
      <c r="B16" t="s">
        <v>101</v>
      </c>
      <c r="C16" s="28">
        <v>97154</v>
      </c>
      <c r="D16" s="28">
        <v>102798</v>
      </c>
      <c r="E16" s="28">
        <v>103482</v>
      </c>
      <c r="F16" s="28">
        <v>104133</v>
      </c>
      <c r="G16" s="28">
        <v>84089</v>
      </c>
      <c r="H16" s="28">
        <v>51630</v>
      </c>
      <c r="I16" s="28">
        <v>73852</v>
      </c>
      <c r="J16" s="28">
        <v>122687</v>
      </c>
      <c r="K16" s="28">
        <v>147204</v>
      </c>
      <c r="L16" s="28">
        <v>147695</v>
      </c>
    </row>
    <row r="17" spans="2:12" x14ac:dyDescent="0.4">
      <c r="B17" t="s">
        <v>102</v>
      </c>
      <c r="C17" s="28">
        <v>1816</v>
      </c>
      <c r="D17" s="28">
        <v>1788</v>
      </c>
      <c r="E17" s="28">
        <v>2623</v>
      </c>
      <c r="F17" s="28">
        <v>2619</v>
      </c>
      <c r="G17" s="28">
        <v>3729</v>
      </c>
      <c r="H17" s="28">
        <v>2730</v>
      </c>
      <c r="I17" s="28">
        <v>2700</v>
      </c>
      <c r="J17" s="28">
        <v>3080</v>
      </c>
      <c r="K17" s="28">
        <v>2990</v>
      </c>
      <c r="L17" s="28">
        <v>3056</v>
      </c>
    </row>
    <row r="18" spans="2:12" x14ac:dyDescent="0.4">
      <c r="B18" t="s">
        <v>103</v>
      </c>
      <c r="C18">
        <v>11</v>
      </c>
      <c r="D18">
        <v>1</v>
      </c>
      <c r="E18">
        <v>9</v>
      </c>
      <c r="F18">
        <v>18</v>
      </c>
      <c r="G18">
        <v>8</v>
      </c>
      <c r="H18">
        <v>8</v>
      </c>
      <c r="I18">
        <v>4</v>
      </c>
      <c r="J18">
        <v>13</v>
      </c>
      <c r="K18">
        <v>26</v>
      </c>
      <c r="L18">
        <v>40</v>
      </c>
    </row>
    <row r="19" spans="2:12" x14ac:dyDescent="0.4">
      <c r="B19" t="s">
        <v>104</v>
      </c>
      <c r="C19">
        <v>0</v>
      </c>
      <c r="D19">
        <v>0</v>
      </c>
      <c r="E19">
        <v>0</v>
      </c>
      <c r="F19">
        <v>-50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2:12" x14ac:dyDescent="0.4">
      <c r="B20" t="s">
        <v>105</v>
      </c>
      <c r="C20" s="28">
        <v>-1460</v>
      </c>
      <c r="D20" s="28">
        <v>1619</v>
      </c>
      <c r="E20" s="28">
        <v>-2230</v>
      </c>
      <c r="F20" s="28">
        <v>-2927</v>
      </c>
      <c r="G20">
        <v>-473</v>
      </c>
      <c r="H20" s="28">
        <v>-3058</v>
      </c>
      <c r="I20" s="28">
        <v>4879</v>
      </c>
      <c r="J20" s="28">
        <v>5361</v>
      </c>
      <c r="K20">
        <v>846</v>
      </c>
      <c r="L20">
        <v>170</v>
      </c>
    </row>
    <row r="21" spans="2:12" x14ac:dyDescent="0.4">
      <c r="B21" t="s">
        <v>106</v>
      </c>
      <c r="C21" s="28">
        <v>16281</v>
      </c>
      <c r="D21">
        <v>275</v>
      </c>
      <c r="E21" s="28">
        <v>-1503</v>
      </c>
      <c r="F21" s="28">
        <v>-3265</v>
      </c>
      <c r="G21" s="28">
        <v>4705</v>
      </c>
      <c r="H21" s="28">
        <v>-1665</v>
      </c>
      <c r="I21" s="28">
        <v>-3835</v>
      </c>
      <c r="J21" s="28">
        <v>2215</v>
      </c>
      <c r="K21" s="28">
        <v>-1314</v>
      </c>
      <c r="L21" s="28">
        <v>-3229</v>
      </c>
    </row>
    <row r="22" spans="2:12" x14ac:dyDescent="0.4">
      <c r="B22" t="s">
        <v>107</v>
      </c>
      <c r="C22" s="28">
        <v>-9666</v>
      </c>
      <c r="D22" s="28">
        <v>-11026</v>
      </c>
      <c r="E22" s="28">
        <v>-26885</v>
      </c>
      <c r="F22" s="28">
        <v>-27897</v>
      </c>
      <c r="G22" s="28">
        <v>-39915</v>
      </c>
      <c r="H22" s="28">
        <v>-32634</v>
      </c>
      <c r="I22" s="28">
        <v>-33581</v>
      </c>
      <c r="J22" s="28">
        <v>-47878</v>
      </c>
      <c r="K22" s="28">
        <v>-48536</v>
      </c>
      <c r="L22" s="28">
        <v>-47438</v>
      </c>
    </row>
    <row r="23" spans="2:12" x14ac:dyDescent="0.4">
      <c r="B23" t="s">
        <v>108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</v>
      </c>
      <c r="K23">
        <v>425</v>
      </c>
      <c r="L23">
        <v>0</v>
      </c>
    </row>
    <row r="24" spans="2:12" x14ac:dyDescent="0.4">
      <c r="B24" t="s">
        <v>109</v>
      </c>
      <c r="C24">
        <v>0</v>
      </c>
      <c r="D24">
        <v>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2:12" x14ac:dyDescent="0.4">
      <c r="B25" t="s">
        <v>110</v>
      </c>
      <c r="C25">
        <v>-73</v>
      </c>
      <c r="D25">
        <v>0</v>
      </c>
      <c r="E25">
        <v>-19</v>
      </c>
      <c r="F25">
        <v>-181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12" x14ac:dyDescent="0.4">
      <c r="B26" t="s">
        <v>111</v>
      </c>
      <c r="C26">
        <v>-20</v>
      </c>
      <c r="D26">
        <v>-20</v>
      </c>
      <c r="E26">
        <v>-40</v>
      </c>
      <c r="F26">
        <v>-186</v>
      </c>
      <c r="G26">
        <v>-924</v>
      </c>
      <c r="H26">
        <v>-634</v>
      </c>
      <c r="I26">
        <v>-698</v>
      </c>
      <c r="J26">
        <v>-779</v>
      </c>
      <c r="K26">
        <v>-699</v>
      </c>
      <c r="L26">
        <v>-840</v>
      </c>
    </row>
    <row r="27" spans="2:12" x14ac:dyDescent="0.4">
      <c r="B27" t="s">
        <v>112</v>
      </c>
      <c r="C27" s="28">
        <v>-9515</v>
      </c>
      <c r="D27" s="28">
        <v>-10973</v>
      </c>
      <c r="E27" s="28">
        <v>-10760</v>
      </c>
      <c r="F27" s="28">
        <v>-11472</v>
      </c>
      <c r="G27" s="28">
        <v>-37702</v>
      </c>
      <c r="H27" s="28">
        <v>-10907</v>
      </c>
      <c r="I27" s="28">
        <v>-13375</v>
      </c>
      <c r="J27" s="28">
        <v>-41410</v>
      </c>
      <c r="K27" s="28">
        <v>-25218</v>
      </c>
      <c r="L27" s="28">
        <v>-44962</v>
      </c>
    </row>
    <row r="28" spans="2:12" x14ac:dyDescent="0.4">
      <c r="B28" t="s">
        <v>113</v>
      </c>
      <c r="C28">
        <v>-60</v>
      </c>
      <c r="D28">
        <v>-66</v>
      </c>
      <c r="E28">
        <v>-24</v>
      </c>
      <c r="F28">
        <v>-13</v>
      </c>
      <c r="G28" s="28">
        <v>-1062</v>
      </c>
      <c r="H28" s="28">
        <v>-1336</v>
      </c>
      <c r="I28" s="28">
        <v>-1417</v>
      </c>
      <c r="J28" s="28">
        <v>-1515</v>
      </c>
      <c r="K28" s="28">
        <v>-1614</v>
      </c>
      <c r="L28" s="28">
        <v>-1664</v>
      </c>
    </row>
    <row r="29" spans="2:12" x14ac:dyDescent="0.4">
      <c r="B29" t="s">
        <v>114</v>
      </c>
      <c r="C29">
        <v>0</v>
      </c>
      <c r="D29">
        <v>-54</v>
      </c>
      <c r="E29" s="28">
        <v>-16042</v>
      </c>
      <c r="F29" s="28">
        <v>-16045</v>
      </c>
      <c r="G29">
        <v>-227</v>
      </c>
      <c r="H29" s="28">
        <v>-19757</v>
      </c>
      <c r="I29" s="28">
        <v>-18091</v>
      </c>
      <c r="J29" s="28">
        <v>-4192</v>
      </c>
      <c r="K29" s="28">
        <v>-21430</v>
      </c>
      <c r="L29">
        <v>28</v>
      </c>
    </row>
    <row r="30" spans="2:12" x14ac:dyDescent="0.4">
      <c r="B30" t="s">
        <v>20</v>
      </c>
      <c r="C30" s="28">
        <v>4433</v>
      </c>
      <c r="D30" s="28">
        <v>-2698</v>
      </c>
      <c r="E30" s="28">
        <v>1286</v>
      </c>
      <c r="F30" s="28">
        <v>2341</v>
      </c>
      <c r="G30" s="28">
        <v>1422</v>
      </c>
      <c r="H30" s="28">
        <v>-1788</v>
      </c>
      <c r="I30" s="28">
        <v>5630</v>
      </c>
      <c r="J30" s="28">
        <v>-5365</v>
      </c>
      <c r="K30" s="28">
        <v>1893</v>
      </c>
      <c r="L30">
        <v>-674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KPI</vt:lpstr>
      <vt:lpstr>HistoricalFS</vt:lpstr>
      <vt:lpstr>Ratio Analysis</vt:lpstr>
      <vt:lpstr> Forecasting</vt:lpstr>
      <vt:lpstr>WACC</vt:lpstr>
      <vt:lpstr>Data Sheet</vt:lpstr>
      <vt:lpstr>Common Size Statement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Chinmaya Shakti Prasad Das</cp:lastModifiedBy>
  <cp:lastPrinted>2012-12-06T18:14:13Z</cp:lastPrinted>
  <dcterms:created xsi:type="dcterms:W3CDTF">2012-08-17T09:55:37Z</dcterms:created>
  <dcterms:modified xsi:type="dcterms:W3CDTF">2026-03-11T05:12:09Z</dcterms:modified>
</cp:coreProperties>
</file>